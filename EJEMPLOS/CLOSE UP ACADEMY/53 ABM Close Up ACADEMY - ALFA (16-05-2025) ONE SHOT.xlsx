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2.xml" ContentType="application/vnd.openxmlformats-officedocument.drawing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MAYRON\CSST\2025\PROYECTOS\ABM PAOLA\EJEMPLOS\CLOSE UP ACADEMY\"/>
    </mc:Choice>
  </mc:AlternateContent>
  <xr:revisionPtr revIDLastSave="0" documentId="13_ncr:1_{96807B89-CC8D-4AB9-ACDD-9C16F9B052DC}" xr6:coauthVersionLast="47" xr6:coauthVersionMax="47" xr10:uidLastSave="{00000000-0000-0000-0000-000000000000}"/>
  <bookViews>
    <workbookView minimized="1" xWindow="-105" yWindow="3495" windowWidth="19350" windowHeight="9735" xr2:uid="{00000000-000D-0000-FFFF-FFFF00000000}"/>
  </bookViews>
  <sheets>
    <sheet name="ABM Nuevos Negocios" sheetId="7" r:id="rId1"/>
    <sheet name="e-mail Form Nuevos Negocios" sheetId="10" r:id="rId2"/>
    <sheet name="Tablas" sheetId="5" r:id="rId3"/>
  </sheets>
  <externalReferences>
    <externalReference r:id="rId4"/>
  </externalReferences>
  <definedNames>
    <definedName name="_xlnm.Print_Area" localSheetId="0">'ABM Nuevos Negocios'!$A$1:$T$99</definedName>
    <definedName name="_xlnm.Print_Area" localSheetId="1">'e-mail Form Nuevos Negocios'!$A$1:$N$96</definedName>
    <definedName name="as">Tablas!$D$6:$D$44</definedName>
    <definedName name="Cuotas">Tablas!$H$6:$H$17</definedName>
    <definedName name="Estado_Contractual" localSheetId="1">[1]Tablas!$C$6:$C$7</definedName>
    <definedName name="Estado_Contractual">Tablas!$C$6:$C$7</definedName>
    <definedName name="Modalidad">Tablas!$F$6:$F$13</definedName>
    <definedName name="Moneda" localSheetId="1">[1]Tablas!$E$6:$E$8</definedName>
    <definedName name="Moneda">Tablas!$E$6:$E$8</definedName>
    <definedName name="País" localSheetId="1">[1]Tablas!$A$6:$A$21</definedName>
    <definedName name="País">Tablas!$A$6:$A$21</definedName>
    <definedName name="Producto" localSheetId="1">[1]Tablas!$B$6:$B$23</definedName>
    <definedName name="Producto">Tablas!$B$6:$B$10</definedName>
    <definedName name="SiNo">Tablas!$G$6</definedName>
    <definedName name="Vigencia" localSheetId="1">[1]Tablas!$D$6:$D$44</definedName>
    <definedName name="Vigencia">Tablas!$D$6:$D$44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8" i="10" l="1"/>
  <c r="B77" i="10" l="1"/>
  <c r="B63" i="10"/>
  <c r="B61" i="10"/>
  <c r="B59" i="10"/>
  <c r="B57" i="10"/>
  <c r="B48" i="10"/>
  <c r="B46" i="10"/>
  <c r="B44" i="10"/>
  <c r="B42" i="10"/>
  <c r="B40" i="10"/>
  <c r="Q44" i="7"/>
  <c r="L44" i="7"/>
  <c r="M44" i="7" s="1"/>
  <c r="R44" i="7" s="1"/>
  <c r="S44" i="7" s="1"/>
  <c r="L43" i="7" l="1"/>
  <c r="L41" i="7" l="1"/>
  <c r="M41" i="7"/>
  <c r="M43" i="7"/>
  <c r="M45" i="7" s="1"/>
  <c r="L45" i="7"/>
  <c r="P47" i="7"/>
  <c r="O47" i="7"/>
  <c r="L47" i="7"/>
  <c r="G47" i="7"/>
  <c r="G48" i="7" s="1"/>
  <c r="H44" i="10" l="1"/>
  <c r="M47" i="7"/>
  <c r="H47" i="7"/>
  <c r="E44" i="10"/>
  <c r="Q47" i="7"/>
  <c r="L48" i="7"/>
  <c r="L71" i="10"/>
  <c r="H71" i="10"/>
  <c r="F71" i="10"/>
  <c r="M54" i="7"/>
  <c r="I48" i="10" s="1"/>
  <c r="H54" i="7"/>
  <c r="F48" i="10" s="1"/>
  <c r="R53" i="7"/>
  <c r="S53" i="7" s="1"/>
  <c r="P53" i="7"/>
  <c r="O53" i="7"/>
  <c r="L53" i="7"/>
  <c r="G53" i="7"/>
  <c r="H51" i="7"/>
  <c r="F46" i="10" s="1"/>
  <c r="P50" i="7"/>
  <c r="O50" i="7"/>
  <c r="L50" i="7"/>
  <c r="G50" i="7"/>
  <c r="G51" i="7" s="1"/>
  <c r="I42" i="10"/>
  <c r="P43" i="7"/>
  <c r="O43" i="7"/>
  <c r="G43" i="7"/>
  <c r="I40" i="10"/>
  <c r="P40" i="7"/>
  <c r="O40" i="7"/>
  <c r="G41" i="7"/>
  <c r="P67" i="7"/>
  <c r="O67" i="7"/>
  <c r="R65" i="7"/>
  <c r="S65" i="7" s="1"/>
  <c r="P65" i="7"/>
  <c r="O65" i="7"/>
  <c r="R63" i="7"/>
  <c r="S63" i="7" s="1"/>
  <c r="P63" i="7"/>
  <c r="O63" i="7"/>
  <c r="I59" i="10"/>
  <c r="I57" i="10"/>
  <c r="F63" i="10"/>
  <c r="F61" i="10"/>
  <c r="F59" i="10"/>
  <c r="F57" i="10"/>
  <c r="G54" i="7" l="1"/>
  <c r="E48" i="10"/>
  <c r="L51" i="7"/>
  <c r="M50" i="7"/>
  <c r="G45" i="7"/>
  <c r="G56" i="7" s="1"/>
  <c r="H43" i="7"/>
  <c r="H41" i="7"/>
  <c r="I44" i="10"/>
  <c r="M48" i="7"/>
  <c r="H48" i="7"/>
  <c r="F44" i="10"/>
  <c r="R47" i="7"/>
  <c r="Q48" i="7"/>
  <c r="K44" i="10"/>
  <c r="Q53" i="7"/>
  <c r="Q54" i="7" s="1"/>
  <c r="Q43" i="7"/>
  <c r="Q45" i="7" s="1"/>
  <c r="Q50" i="7"/>
  <c r="Q51" i="7" s="1"/>
  <c r="L54" i="7"/>
  <c r="R54" i="7"/>
  <c r="S54" i="7" s="1"/>
  <c r="L59" i="10"/>
  <c r="M59" i="10" s="1"/>
  <c r="L57" i="10"/>
  <c r="M57" i="10" s="1"/>
  <c r="Q40" i="7"/>
  <c r="Q41" i="7" s="1"/>
  <c r="F65" i="10"/>
  <c r="L56" i="7" l="1"/>
  <c r="L58" i="7" s="1"/>
  <c r="R50" i="7"/>
  <c r="M51" i="7"/>
  <c r="I46" i="10" s="1"/>
  <c r="I50" i="10" s="1"/>
  <c r="I52" i="10" s="1"/>
  <c r="R43" i="7"/>
  <c r="R45" i="7" s="1"/>
  <c r="H45" i="7"/>
  <c r="F42" i="10" s="1"/>
  <c r="R40" i="7"/>
  <c r="F40" i="10"/>
  <c r="Q56" i="7"/>
  <c r="Q58" i="7" s="1"/>
  <c r="S47" i="7"/>
  <c r="L44" i="10"/>
  <c r="M44" i="10" s="1"/>
  <c r="R48" i="7"/>
  <c r="M63" i="10"/>
  <c r="C33" i="10"/>
  <c r="I27" i="10"/>
  <c r="C27" i="10"/>
  <c r="K22" i="10"/>
  <c r="C8" i="10"/>
  <c r="H56" i="7" l="1"/>
  <c r="H59" i="7" s="1"/>
  <c r="M56" i="7"/>
  <c r="M58" i="7" s="1"/>
  <c r="F50" i="10"/>
  <c r="F52" i="10" s="1"/>
  <c r="F69" i="10" s="1"/>
  <c r="S50" i="7"/>
  <c r="R51" i="7"/>
  <c r="S51" i="7" s="1"/>
  <c r="S45" i="7"/>
  <c r="S43" i="7"/>
  <c r="S40" i="7"/>
  <c r="R41" i="7"/>
  <c r="H58" i="7"/>
  <c r="S48" i="7"/>
  <c r="H71" i="7"/>
  <c r="L69" i="7"/>
  <c r="M69" i="7" s="1"/>
  <c r="G69" i="7"/>
  <c r="E63" i="10" s="1"/>
  <c r="L67" i="7"/>
  <c r="M67" i="7" s="1"/>
  <c r="G67" i="7"/>
  <c r="E61" i="10" s="1"/>
  <c r="L65" i="7"/>
  <c r="G65" i="7"/>
  <c r="E59" i="10" s="1"/>
  <c r="L63" i="7"/>
  <c r="G63" i="7"/>
  <c r="E57" i="10" s="1"/>
  <c r="E42" i="10"/>
  <c r="E46" i="10"/>
  <c r="H40" i="10"/>
  <c r="I61" i="10" l="1"/>
  <c r="I65" i="10" s="1"/>
  <c r="I69" i="10" s="1"/>
  <c r="R67" i="7"/>
  <c r="S41" i="7"/>
  <c r="R56" i="7"/>
  <c r="R58" i="7" s="1"/>
  <c r="Q69" i="7"/>
  <c r="M71" i="7"/>
  <c r="M74" i="7" s="1"/>
  <c r="R69" i="7"/>
  <c r="S69" i="7" s="1"/>
  <c r="L71" i="7"/>
  <c r="H46" i="10"/>
  <c r="K46" i="10"/>
  <c r="H42" i="10"/>
  <c r="Q63" i="7"/>
  <c r="K57" i="10" s="1"/>
  <c r="H57" i="10"/>
  <c r="H61" i="10"/>
  <c r="Q67" i="7"/>
  <c r="K61" i="10" s="1"/>
  <c r="Q65" i="7"/>
  <c r="K59" i="10" s="1"/>
  <c r="H59" i="10"/>
  <c r="H48" i="10"/>
  <c r="E65" i="10"/>
  <c r="F67" i="10" s="1"/>
  <c r="H74" i="7"/>
  <c r="E40" i="10"/>
  <c r="E50" i="10" s="1"/>
  <c r="L40" i="10"/>
  <c r="L42" i="10"/>
  <c r="M42" i="10" s="1"/>
  <c r="K48" i="10"/>
  <c r="L48" i="10"/>
  <c r="M48" i="10" s="1"/>
  <c r="G71" i="7"/>
  <c r="H72" i="7" s="1"/>
  <c r="G58" i="7"/>
  <c r="L46" i="10"/>
  <c r="M46" i="10" s="1"/>
  <c r="K42" i="10"/>
  <c r="S67" i="7" l="1"/>
  <c r="L61" i="10"/>
  <c r="H50" i="10"/>
  <c r="L50" i="10"/>
  <c r="L52" i="10" s="1"/>
  <c r="R71" i="7"/>
  <c r="S71" i="7" s="1"/>
  <c r="S56" i="7"/>
  <c r="S58" i="7"/>
  <c r="M40" i="10"/>
  <c r="L74" i="7"/>
  <c r="G74" i="7"/>
  <c r="K65" i="10"/>
  <c r="H65" i="10"/>
  <c r="I67" i="10" s="1"/>
  <c r="K40" i="10"/>
  <c r="K50" i="10" s="1"/>
  <c r="K52" i="10" s="1"/>
  <c r="Q71" i="7"/>
  <c r="M61" i="10" l="1"/>
  <c r="L65" i="10"/>
  <c r="M65" i="10" s="1"/>
  <c r="I53" i="10"/>
  <c r="H52" i="10"/>
  <c r="H69" i="10" s="1"/>
  <c r="M50" i="10"/>
  <c r="M52" i="10"/>
  <c r="R74" i="7"/>
  <c r="S74" i="7" s="1"/>
  <c r="K69" i="10"/>
  <c r="Q74" i="7"/>
  <c r="F53" i="10"/>
  <c r="E52" i="10"/>
  <c r="E69" i="10" s="1"/>
  <c r="L69" i="10" l="1"/>
  <c r="M69" i="10" s="1"/>
</calcChain>
</file>

<file path=xl/sharedStrings.xml><?xml version="1.0" encoding="utf-8"?>
<sst xmlns="http://schemas.openxmlformats.org/spreadsheetml/2006/main" count="243" uniqueCount="168">
  <si>
    <t>Variación</t>
  </si>
  <si>
    <t>%</t>
  </si>
  <si>
    <t>Renovación Automática</t>
  </si>
  <si>
    <t>Si</t>
  </si>
  <si>
    <t>No</t>
  </si>
  <si>
    <t>Ajuste por Inflación Anual</t>
  </si>
  <si>
    <t>Posee Tipo de cambio fijo</t>
  </si>
  <si>
    <t>ABM de Contratos</t>
  </si>
  <si>
    <t>Argentina</t>
  </si>
  <si>
    <r>
      <t xml:space="preserve">Fecha </t>
    </r>
    <r>
      <rPr>
        <b/>
        <i/>
        <sz val="10"/>
        <color theme="0" tint="-0.499984740745262"/>
        <rFont val="Arial"/>
        <family val="2"/>
      </rPr>
      <t>/ Date:</t>
    </r>
  </si>
  <si>
    <t>Tablas Close-Up International</t>
  </si>
  <si>
    <t>País</t>
  </si>
  <si>
    <t>Brasil</t>
  </si>
  <si>
    <t>México</t>
  </si>
  <si>
    <t>España</t>
  </si>
  <si>
    <t>Chile</t>
  </si>
  <si>
    <t>Perú</t>
  </si>
  <si>
    <t>Colombia</t>
  </si>
  <si>
    <t>Ecuador</t>
  </si>
  <si>
    <t>Paraguay</t>
  </si>
  <si>
    <t>Uruguay</t>
  </si>
  <si>
    <t>Centroamérica</t>
  </si>
  <si>
    <t>Bolivia</t>
  </si>
  <si>
    <t>Venezuela</t>
  </si>
  <si>
    <t>EEUU</t>
  </si>
  <si>
    <t>Portugal</t>
  </si>
  <si>
    <t>Suiza</t>
  </si>
  <si>
    <r>
      <t xml:space="preserve">Cliente Nuevo </t>
    </r>
    <r>
      <rPr>
        <b/>
        <sz val="9"/>
        <color theme="0" tint="-0.499984740745262"/>
        <rFont val="Arial"/>
        <family val="2"/>
      </rPr>
      <t>/ New client</t>
    </r>
  </si>
  <si>
    <r>
      <t xml:space="preserve">Cliente Existente </t>
    </r>
    <r>
      <rPr>
        <b/>
        <sz val="9"/>
        <color theme="0" tint="-0.499984740745262"/>
        <rFont val="Arial"/>
        <family val="2"/>
      </rPr>
      <t>/ Existing client</t>
    </r>
  </si>
  <si>
    <r>
      <rPr>
        <b/>
        <sz val="10"/>
        <color theme="1"/>
        <rFont val="Arial"/>
        <family val="2"/>
      </rPr>
      <t>País</t>
    </r>
    <r>
      <rPr>
        <b/>
        <sz val="10"/>
        <color theme="0" tint="-0.499984740745262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Country:</t>
    </r>
  </si>
  <si>
    <t>Producto</t>
  </si>
  <si>
    <t>Otros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</si>
  <si>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data</t>
    </r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</si>
  <si>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Notification</t>
    </r>
  </si>
  <si>
    <t>Estado de Negociación</t>
  </si>
  <si>
    <t>Presupuesto aprobado</t>
  </si>
  <si>
    <t>Contrato Firmado</t>
  </si>
  <si>
    <r>
      <rPr>
        <b/>
        <sz val="9"/>
        <color theme="1"/>
        <rFont val="Arial"/>
        <family val="2"/>
      </rPr>
      <t xml:space="preserve">Cliente </t>
    </r>
    <r>
      <rPr>
        <b/>
        <i/>
        <sz val="9"/>
        <color theme="0" tint="-0.499984740745262"/>
        <rFont val="Arial"/>
        <family val="2"/>
      </rPr>
      <t>/ Client:</t>
    </r>
  </si>
  <si>
    <r>
      <rPr>
        <b/>
        <sz val="9"/>
        <color theme="1"/>
        <rFont val="Arial"/>
        <family val="2"/>
      </rPr>
      <t>Producto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Product:</t>
    </r>
  </si>
  <si>
    <t>Vigencia</t>
  </si>
  <si>
    <t>Desde:</t>
  </si>
  <si>
    <t>Hasta:</t>
  </si>
  <si>
    <t>36 meses</t>
  </si>
  <si>
    <t>24 meses</t>
  </si>
  <si>
    <t>12 meses</t>
  </si>
  <si>
    <t>1 mes</t>
  </si>
  <si>
    <t>3 meses</t>
  </si>
  <si>
    <t>2 meses</t>
  </si>
  <si>
    <t>4 meses</t>
  </si>
  <si>
    <t>5 meses</t>
  </si>
  <si>
    <t>6 meses</t>
  </si>
  <si>
    <t>7 meses</t>
  </si>
  <si>
    <t>8 meses</t>
  </si>
  <si>
    <t>9 meses</t>
  </si>
  <si>
    <t>10 meses</t>
  </si>
  <si>
    <t>11 meses</t>
  </si>
  <si>
    <t>13 meses</t>
  </si>
  <si>
    <t>14 meses</t>
  </si>
  <si>
    <t>15 meses</t>
  </si>
  <si>
    <t>16 meses</t>
  </si>
  <si>
    <t>17 meses</t>
  </si>
  <si>
    <t>18 meses</t>
  </si>
  <si>
    <t>19 meses</t>
  </si>
  <si>
    <t>20 meses</t>
  </si>
  <si>
    <t>21 meses</t>
  </si>
  <si>
    <t>22 meses</t>
  </si>
  <si>
    <t>23 meses</t>
  </si>
  <si>
    <t>25 meses</t>
  </si>
  <si>
    <t>26 meses</t>
  </si>
  <si>
    <t>27 meses</t>
  </si>
  <si>
    <t>28 meses</t>
  </si>
  <si>
    <t>29 meses</t>
  </si>
  <si>
    <t>30 meses</t>
  </si>
  <si>
    <t>31 meses</t>
  </si>
  <si>
    <t>32 meses</t>
  </si>
  <si>
    <t>33 meses</t>
  </si>
  <si>
    <t>34 meses</t>
  </si>
  <si>
    <t>35 meses</t>
  </si>
  <si>
    <t>Contrato Actual</t>
  </si>
  <si>
    <t>Cant.</t>
  </si>
  <si>
    <t>Total 
Base</t>
  </si>
  <si>
    <t>Pcio. 
Unit.</t>
  </si>
  <si>
    <t>Total Neto</t>
  </si>
  <si>
    <t>Contrato Anterior</t>
  </si>
  <si>
    <r>
      <t>Fecha de Contrato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Date of contract:</t>
    </r>
  </si>
  <si>
    <r>
      <t xml:space="preserve">Edición </t>
    </r>
    <r>
      <rPr>
        <b/>
        <i/>
        <sz val="9"/>
        <color theme="0" tint="-0.499984740745262"/>
        <rFont val="Arial"/>
        <family val="2"/>
      </rPr>
      <t>/ Edition</t>
    </r>
  </si>
  <si>
    <r>
      <rPr>
        <b/>
        <sz val="10"/>
        <color theme="4" tint="-0.499984740745262"/>
        <rFont val="Arial"/>
        <family val="2"/>
      </rPr>
      <t xml:space="preserve">Datos Económicos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Economic data</t>
    </r>
  </si>
  <si>
    <t>Moneda</t>
  </si>
  <si>
    <t>Dólar</t>
  </si>
  <si>
    <t>Euro</t>
  </si>
  <si>
    <t>Real</t>
  </si>
  <si>
    <r>
      <t xml:space="preserve">Moneda </t>
    </r>
    <r>
      <rPr>
        <b/>
        <i/>
        <sz val="9"/>
        <color theme="0" tint="-0.499984740745262"/>
        <rFont val="Arial"/>
        <family val="2"/>
      </rPr>
      <t>/ Currency</t>
    </r>
    <r>
      <rPr>
        <b/>
        <sz val="9"/>
        <color theme="0" tint="-0.499984740745262"/>
        <rFont val="Arial"/>
        <family val="2"/>
      </rPr>
      <t>:</t>
    </r>
  </si>
  <si>
    <r>
      <t xml:space="preserve">Vigencia </t>
    </r>
    <r>
      <rPr>
        <b/>
        <i/>
        <sz val="9"/>
        <color theme="0" tint="-0.499984740745262"/>
        <rFont val="Arial"/>
        <family val="2"/>
      </rPr>
      <t>/ Life</t>
    </r>
    <r>
      <rPr>
        <b/>
        <sz val="9"/>
        <color theme="0" tint="-0.499984740745262"/>
        <rFont val="Arial"/>
        <family val="2"/>
      </rPr>
      <t>:</t>
    </r>
  </si>
  <si>
    <r>
      <t xml:space="preserve">Alta de Producto </t>
    </r>
    <r>
      <rPr>
        <i/>
        <sz val="9"/>
        <color theme="0" tint="-0.499984740745262"/>
        <rFont val="Arial"/>
        <family val="2"/>
      </rPr>
      <t>/ Product Added</t>
    </r>
  </si>
  <si>
    <r>
      <t xml:space="preserve">Modificación - Addendum </t>
    </r>
    <r>
      <rPr>
        <i/>
        <sz val="9"/>
        <color theme="0" tint="-0.499984740745262"/>
        <rFont val="Arial"/>
        <family val="2"/>
      </rPr>
      <t>/ Modification</t>
    </r>
  </si>
  <si>
    <r>
      <t xml:space="preserve">Baja-Cancelación </t>
    </r>
    <r>
      <rPr>
        <i/>
        <sz val="9"/>
        <color theme="0" tint="-0.499984740745262"/>
        <rFont val="Arial"/>
        <family val="2"/>
      </rPr>
      <t>/ Cancellation</t>
    </r>
  </si>
  <si>
    <r>
      <rPr>
        <b/>
        <sz val="10"/>
        <color theme="4" tint="-0.499984740745262"/>
        <rFont val="Arial"/>
        <family val="2"/>
      </rPr>
      <t xml:space="preserve">Claúsulas Contractuales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Clauses</t>
    </r>
  </si>
  <si>
    <t>TC Fijo</t>
  </si>
  <si>
    <r>
      <t xml:space="preserve">Observaciones &amp; Motivo de cancelación </t>
    </r>
    <r>
      <rPr>
        <b/>
        <sz val="10"/>
        <color theme="1" tint="0.499984740745262"/>
        <rFont val="Arial"/>
        <family val="2"/>
      </rPr>
      <t>/ Observations &amp; Reason for cancellation</t>
    </r>
  </si>
  <si>
    <t>Total Mensual</t>
  </si>
  <si>
    <t>Total Anual</t>
  </si>
  <si>
    <t>% Descuento</t>
  </si>
  <si>
    <r>
      <t xml:space="preserve">Responsable de cuenta </t>
    </r>
    <r>
      <rPr>
        <b/>
        <i/>
        <sz val="9"/>
        <color theme="0" tint="-0.499984740745262"/>
        <rFont val="Arial"/>
        <family val="2"/>
      </rPr>
      <t>/ KAM:</t>
    </r>
  </si>
  <si>
    <t>Publimark</t>
  </si>
  <si>
    <t>Modalidad</t>
  </si>
  <si>
    <t>Blackberry by RIM</t>
  </si>
  <si>
    <t>Android Phone</t>
  </si>
  <si>
    <t>Android Tablets</t>
  </si>
  <si>
    <t>H5</t>
  </si>
  <si>
    <t>Ipad by Apple</t>
  </si>
  <si>
    <t>Win 32</t>
  </si>
  <si>
    <t>Solo Web</t>
  </si>
  <si>
    <t>Windows Mobile</t>
  </si>
  <si>
    <t>Facturación recurrente</t>
  </si>
  <si>
    <t>Total Anual (a + b)</t>
  </si>
  <si>
    <t>a)</t>
  </si>
  <si>
    <t>b)</t>
  </si>
  <si>
    <t>País:</t>
  </si>
  <si>
    <t>Fecha:</t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</si>
  <si>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/>
    </r>
  </si>
  <si>
    <t>Responsable de cuenta:</t>
  </si>
  <si>
    <t>Cliente Nuevo</t>
  </si>
  <si>
    <t>Cliente Existente</t>
  </si>
  <si>
    <t>Alta de cliente</t>
  </si>
  <si>
    <t>Modificación - Addendum</t>
  </si>
  <si>
    <t>Baja-Cancelación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</si>
  <si>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/>
    </r>
  </si>
  <si>
    <t>Cliente:</t>
  </si>
  <si>
    <t>Producto:</t>
  </si>
  <si>
    <r>
      <t>Fecha de Contrato</t>
    </r>
    <r>
      <rPr>
        <b/>
        <i/>
        <sz val="9"/>
        <color theme="1"/>
        <rFont val="Arial"/>
        <family val="2"/>
      </rPr>
      <t>:</t>
    </r>
  </si>
  <si>
    <t>Estado:</t>
  </si>
  <si>
    <t>Vigencia:</t>
  </si>
  <si>
    <t>Edición</t>
  </si>
  <si>
    <r>
      <rPr>
        <b/>
        <sz val="10"/>
        <color theme="4" tint="-0.499984740745262"/>
        <rFont val="Arial"/>
        <family val="2"/>
      </rPr>
      <t>Datos Económicos</t>
    </r>
    <r>
      <rPr>
        <b/>
        <i/>
        <sz val="10"/>
        <color theme="1"/>
        <rFont val="Arial"/>
        <family val="2"/>
      </rPr>
      <t/>
    </r>
  </si>
  <si>
    <t>Moneda:</t>
  </si>
  <si>
    <t>Total 
Neto</t>
  </si>
  <si>
    <t>Observaciones &amp; Motivo de cancelación:</t>
  </si>
  <si>
    <t>Claúsulas Contractuales</t>
  </si>
  <si>
    <t xml:space="preserve">       Si</t>
  </si>
  <si>
    <t xml:space="preserve">             No</t>
  </si>
  <si>
    <t>Posee Tipo de cambio tope</t>
  </si>
  <si>
    <t>TC Tope</t>
  </si>
  <si>
    <t>Estado contractual:</t>
  </si>
  <si>
    <t>Consultoria</t>
  </si>
  <si>
    <t>Pesquisa TCA – Panel</t>
  </si>
  <si>
    <t>Pesquisa TCA – Ad-Hoc</t>
  </si>
  <si>
    <t>Mercados</t>
  </si>
  <si>
    <t>Facturación esporádica (one-shot)</t>
  </si>
  <si>
    <t>Consultoría</t>
  </si>
  <si>
    <t>Tipo</t>
  </si>
  <si>
    <t>Facturación en cuotas</t>
  </si>
  <si>
    <t>Indicar cantidad</t>
  </si>
  <si>
    <t>Si/No</t>
  </si>
  <si>
    <t>x</t>
  </si>
  <si>
    <t>Cuotas</t>
  </si>
  <si>
    <t>Indicar cuotas</t>
  </si>
  <si>
    <t>Estudio Especial</t>
  </si>
  <si>
    <t>Territorios</t>
  </si>
  <si>
    <t>RM</t>
  </si>
  <si>
    <t>TD</t>
  </si>
  <si>
    <t>TDD</t>
  </si>
  <si>
    <t>TM</t>
  </si>
  <si>
    <t>AUDITORÍA DE VENTAS</t>
  </si>
  <si>
    <t>RONALD CARDOZO</t>
  </si>
  <si>
    <t>ONE SHOT</t>
  </si>
  <si>
    <t>CLOSE UP ACADEMY</t>
  </si>
  <si>
    <t>ALFA</t>
  </si>
  <si>
    <r>
      <rPr>
        <b/>
        <sz val="9"/>
        <color theme="1"/>
        <rFont val="Arial"/>
        <family val="2"/>
      </rPr>
      <t>CLOSE UP ACADEMY</t>
    </r>
    <r>
      <rPr>
        <sz val="9"/>
        <color theme="1"/>
        <rFont val="Arial"/>
        <family val="2"/>
      </rPr>
      <t xml:space="preserve"> (ORATORIA)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</si>
</sst>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_ ;_ * \-#,##0_ ;_ * &quot;-&quot;_ ;_ @_ "/>
    <numFmt numFmtId="165" formatCode="_ * #,##0.00_ ;_ * \-#,##0.00_ ;_ * &quot;-&quot;??_ ;_ @_ "/>
    <numFmt numFmtId="166" formatCode="#,##0.00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0" tint="-0.499984740745262"/>
      <name val="Arial"/>
      <family val="2"/>
    </font>
    <font>
      <b/>
      <sz val="9"/>
      <color theme="1"/>
      <name val="Arial"/>
      <family val="2"/>
    </font>
    <font>
      <b/>
      <i/>
      <sz val="9"/>
      <color theme="0" tint="-0.499984740745262"/>
      <name val="Arial"/>
      <family val="2"/>
    </font>
    <font>
      <sz val="20"/>
      <color theme="4" tint="-0.499984740745262"/>
      <name val="Calibri"/>
      <family val="2"/>
      <scheme val="minor"/>
    </font>
    <font>
      <b/>
      <i/>
      <sz val="9"/>
      <color theme="1"/>
      <name val="Arial"/>
      <family val="2"/>
    </font>
    <font>
      <b/>
      <sz val="18"/>
      <color theme="1"/>
      <name val="Lucida Sans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color theme="0" tint="-0.499984740745262"/>
      <name val="Arial"/>
      <family val="2"/>
    </font>
    <font>
      <sz val="11"/>
      <color theme="1"/>
      <name val="Arial"/>
      <family val="2"/>
    </font>
    <font>
      <b/>
      <sz val="10"/>
      <color theme="0" tint="-0.499984740745262"/>
      <name val="Arial"/>
      <family val="2"/>
    </font>
    <font>
      <sz val="9"/>
      <color theme="1"/>
      <name val="Arial"/>
      <family val="2"/>
    </font>
    <font>
      <i/>
      <sz val="9"/>
      <color theme="1" tint="0.249977111117893"/>
      <name val="Arial"/>
      <family val="2"/>
    </font>
    <font>
      <b/>
      <i/>
      <sz val="10"/>
      <color theme="1"/>
      <name val="Arial"/>
      <family val="2"/>
    </font>
    <font>
      <sz val="11"/>
      <name val="Calibri"/>
      <family val="2"/>
    </font>
    <font>
      <b/>
      <sz val="10"/>
      <color theme="4" tint="-0.499984740745262"/>
      <name val="Arial"/>
      <family val="2"/>
    </font>
    <font>
      <sz val="9"/>
      <color theme="0"/>
      <name val="Arial"/>
      <family val="2"/>
    </font>
    <font>
      <b/>
      <sz val="9"/>
      <name val="Arial"/>
      <family val="2"/>
    </font>
    <font>
      <b/>
      <sz val="8"/>
      <color theme="1"/>
      <name val="Arial"/>
      <family val="2"/>
    </font>
    <font>
      <i/>
      <sz val="9"/>
      <color theme="0" tint="-0.499984740745262"/>
      <name val="Arial"/>
      <family val="2"/>
    </font>
    <font>
      <b/>
      <sz val="9"/>
      <color theme="5" tint="-0.499984740745262"/>
      <name val="Arial"/>
      <family val="2"/>
    </font>
    <font>
      <b/>
      <i/>
      <sz val="9"/>
      <color theme="5" tint="-0.499984740745262"/>
      <name val="Arial"/>
      <family val="2"/>
    </font>
    <font>
      <sz val="9"/>
      <color theme="1" tint="0.249977111117893"/>
      <name val="Arial"/>
      <family val="2"/>
    </font>
    <font>
      <b/>
      <sz val="10"/>
      <color theme="1" tint="0.499984740745262"/>
      <name val="Arial"/>
      <family val="2"/>
    </font>
    <font>
      <sz val="9"/>
      <color theme="9" tint="-0.499984740745262"/>
      <name val="Arial"/>
      <family val="2"/>
    </font>
    <font>
      <b/>
      <sz val="9"/>
      <color theme="4" tint="-0.499984740745262"/>
      <name val="Arial"/>
      <family val="2"/>
    </font>
    <font>
      <sz val="9"/>
      <color theme="4" tint="-0.499984740745262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9"/>
      <color theme="1" tint="0.249977111117893"/>
      <name val="Arial"/>
      <family val="2"/>
    </font>
    <font>
      <b/>
      <sz val="9"/>
      <color theme="1" tint="0.249977111117893"/>
      <name val="Arial"/>
      <family val="2"/>
    </font>
    <font>
      <sz val="8"/>
      <color theme="1"/>
      <name val="Arial"/>
      <family val="2"/>
    </font>
    <font>
      <b/>
      <sz val="9"/>
      <color theme="3" tint="-0.499984740745262"/>
      <name val="Arial"/>
      <family val="2"/>
    </font>
    <font>
      <b/>
      <sz val="12"/>
      <color theme="1" tint="0.249977111117893"/>
      <name val="Calibri"/>
      <family val="2"/>
      <scheme val="minor"/>
    </font>
    <font>
      <sz val="14"/>
      <color theme="1" tint="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5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theme="0" tint="-0.24994659260841701"/>
      </top>
      <bottom style="thin">
        <color theme="0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1" fillId="0" borderId="0"/>
    <xf numFmtId="165" fontId="1" fillId="0" borderId="0" applyFont="0" applyFill="0" applyBorder="0" applyAlignment="0" applyProtection="0"/>
  </cellStyleXfs>
  <cellXfs count="154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2" borderId="1" xfId="0" applyFill="1" applyBorder="1"/>
    <xf numFmtId="0" fontId="8" fillId="2" borderId="0" xfId="0" applyFont="1" applyFill="1"/>
    <xf numFmtId="0" fontId="2" fillId="2" borderId="0" xfId="0" applyFont="1" applyFill="1"/>
    <xf numFmtId="0" fontId="10" fillId="2" borderId="0" xfId="0" applyFont="1" applyFill="1"/>
    <xf numFmtId="0" fontId="0" fillId="2" borderId="2" xfId="0" applyFill="1" applyBorder="1"/>
    <xf numFmtId="0" fontId="3" fillId="4" borderId="0" xfId="0" applyFont="1" applyFill="1" applyAlignment="1">
      <alignment vertical="center" wrapText="1"/>
    </xf>
    <xf numFmtId="0" fontId="14" fillId="2" borderId="0" xfId="0" applyFont="1" applyFill="1"/>
    <xf numFmtId="0" fontId="14" fillId="2" borderId="1" xfId="0" applyFont="1" applyFill="1" applyBorder="1"/>
    <xf numFmtId="0" fontId="16" fillId="2" borderId="0" xfId="0" applyFont="1" applyFill="1"/>
    <xf numFmtId="0" fontId="6" fillId="2" borderId="0" xfId="0" applyFont="1" applyFill="1"/>
    <xf numFmtId="0" fontId="18" fillId="2" borderId="0" xfId="0" applyFont="1" applyFill="1" applyAlignment="1">
      <alignment horizontal="left" vertical="center"/>
    </xf>
    <xf numFmtId="0" fontId="12" fillId="0" borderId="3" xfId="2" applyFont="1" applyBorder="1" applyAlignment="1">
      <alignment wrapText="1"/>
    </xf>
    <xf numFmtId="0" fontId="12" fillId="0" borderId="3" xfId="2" applyFont="1" applyBorder="1"/>
    <xf numFmtId="0" fontId="19" fillId="0" borderId="3" xfId="2" applyFont="1" applyBorder="1"/>
    <xf numFmtId="0" fontId="16" fillId="2" borderId="0" xfId="0" applyFont="1" applyFill="1" applyAlignment="1">
      <alignment vertical="center"/>
    </xf>
    <xf numFmtId="0" fontId="21" fillId="5" borderId="4" xfId="0" applyFont="1" applyFill="1" applyBorder="1" applyAlignment="1">
      <alignment vertical="center"/>
    </xf>
    <xf numFmtId="0" fontId="21" fillId="5" borderId="4" xfId="0" applyFont="1" applyFill="1" applyBorder="1" applyAlignment="1">
      <alignment horizontal="center" wrapText="1"/>
    </xf>
    <xf numFmtId="0" fontId="21" fillId="4" borderId="4" xfId="0" applyFont="1" applyFill="1" applyBorder="1" applyAlignment="1">
      <alignment horizontal="center" wrapText="1"/>
    </xf>
    <xf numFmtId="0" fontId="16" fillId="2" borderId="8" xfId="0" applyFont="1" applyFill="1" applyBorder="1"/>
    <xf numFmtId="0" fontId="16" fillId="2" borderId="9" xfId="0" applyFont="1" applyFill="1" applyBorder="1"/>
    <xf numFmtId="0" fontId="16" fillId="3" borderId="9" xfId="0" applyFont="1" applyFill="1" applyBorder="1"/>
    <xf numFmtId="164" fontId="6" fillId="3" borderId="9" xfId="0" applyNumberFormat="1" applyFont="1" applyFill="1" applyBorder="1"/>
    <xf numFmtId="164" fontId="6" fillId="8" borderId="9" xfId="0" applyNumberFormat="1" applyFont="1" applyFill="1" applyBorder="1"/>
    <xf numFmtId="0" fontId="21" fillId="5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0" fontId="25" fillId="2" borderId="0" xfId="0" applyFont="1" applyFill="1"/>
    <xf numFmtId="0" fontId="20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17" fillId="2" borderId="0" xfId="0" applyFont="1" applyFill="1"/>
    <xf numFmtId="0" fontId="6" fillId="2" borderId="0" xfId="0" applyFont="1" applyFill="1" applyAlignment="1">
      <alignment horizontal="right"/>
    </xf>
    <xf numFmtId="164" fontId="6" fillId="2" borderId="0" xfId="0" applyNumberFormat="1" applyFont="1" applyFill="1"/>
    <xf numFmtId="0" fontId="26" fillId="2" borderId="0" xfId="0" applyFont="1" applyFill="1"/>
    <xf numFmtId="164" fontId="25" fillId="2" borderId="0" xfId="0" applyNumberFormat="1" applyFont="1" applyFill="1"/>
    <xf numFmtId="9" fontId="25" fillId="2" borderId="0" xfId="1" applyFont="1" applyFill="1" applyBorder="1"/>
    <xf numFmtId="9" fontId="25" fillId="2" borderId="0" xfId="0" applyNumberFormat="1" applyFont="1" applyFill="1"/>
    <xf numFmtId="0" fontId="27" fillId="2" borderId="0" xfId="0" applyFont="1" applyFill="1" applyAlignment="1">
      <alignment horizontal="right" vertical="center"/>
    </xf>
    <xf numFmtId="0" fontId="27" fillId="2" borderId="0" xfId="0" applyFont="1" applyFill="1" applyAlignment="1">
      <alignment horizontal="right"/>
    </xf>
    <xf numFmtId="0" fontId="16" fillId="2" borderId="0" xfId="0" applyFont="1" applyFill="1" applyAlignment="1">
      <alignment horizontal="right"/>
    </xf>
    <xf numFmtId="0" fontId="9" fillId="2" borderId="0" xfId="0" applyFont="1" applyFill="1" applyAlignment="1">
      <alignment vertical="center"/>
    </xf>
    <xf numFmtId="0" fontId="16" fillId="2" borderId="10" xfId="0" applyFont="1" applyFill="1" applyBorder="1"/>
    <xf numFmtId="0" fontId="16" fillId="2" borderId="11" xfId="0" applyFont="1" applyFill="1" applyBorder="1"/>
    <xf numFmtId="0" fontId="16" fillId="2" borderId="12" xfId="0" applyFont="1" applyFill="1" applyBorder="1"/>
    <xf numFmtId="0" fontId="16" fillId="2" borderId="13" xfId="0" applyFont="1" applyFill="1" applyBorder="1"/>
    <xf numFmtId="0" fontId="16" fillId="2" borderId="14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16" fillId="2" borderId="13" xfId="0" applyFont="1" applyFill="1" applyBorder="1" applyAlignment="1">
      <alignment vertical="center"/>
    </xf>
    <xf numFmtId="0" fontId="16" fillId="2" borderId="14" xfId="0" applyFont="1" applyFill="1" applyBorder="1" applyAlignment="1">
      <alignment vertical="center"/>
    </xf>
    <xf numFmtId="0" fontId="14" fillId="2" borderId="13" xfId="0" applyFont="1" applyFill="1" applyBorder="1"/>
    <xf numFmtId="0" fontId="14" fillId="2" borderId="14" xfId="0" applyFont="1" applyFill="1" applyBorder="1"/>
    <xf numFmtId="0" fontId="6" fillId="2" borderId="13" xfId="0" applyFont="1" applyFill="1" applyBorder="1"/>
    <xf numFmtId="0" fontId="6" fillId="2" borderId="14" xfId="0" applyFont="1" applyFill="1" applyBorder="1"/>
    <xf numFmtId="0" fontId="25" fillId="2" borderId="14" xfId="0" applyFont="1" applyFill="1" applyBorder="1"/>
    <xf numFmtId="0" fontId="6" fillId="7" borderId="8" xfId="0" applyFont="1" applyFill="1" applyBorder="1"/>
    <xf numFmtId="164" fontId="6" fillId="7" borderId="8" xfId="0" applyNumberFormat="1" applyFont="1" applyFill="1" applyBorder="1"/>
    <xf numFmtId="164" fontId="6" fillId="6" borderId="8" xfId="0" applyNumberFormat="1" applyFont="1" applyFill="1" applyBorder="1"/>
    <xf numFmtId="0" fontId="6" fillId="7" borderId="15" xfId="0" applyFont="1" applyFill="1" applyBorder="1"/>
    <xf numFmtId="164" fontId="6" fillId="7" borderId="15" xfId="0" applyNumberFormat="1" applyFont="1" applyFill="1" applyBorder="1"/>
    <xf numFmtId="164" fontId="6" fillId="6" borderId="15" xfId="0" applyNumberFormat="1" applyFont="1" applyFill="1" applyBorder="1"/>
    <xf numFmtId="0" fontId="29" fillId="2" borderId="0" xfId="0" applyFont="1" applyFill="1"/>
    <xf numFmtId="0" fontId="30" fillId="2" borderId="13" xfId="0" applyFont="1" applyFill="1" applyBorder="1"/>
    <xf numFmtId="0" fontId="31" fillId="2" borderId="0" xfId="0" applyFont="1" applyFill="1"/>
    <xf numFmtId="0" fontId="31" fillId="2" borderId="13" xfId="0" applyFont="1" applyFill="1" applyBorder="1"/>
    <xf numFmtId="0" fontId="32" fillId="2" borderId="0" xfId="0" applyFont="1" applyFill="1"/>
    <xf numFmtId="0" fontId="25" fillId="2" borderId="14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16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14" fontId="16" fillId="3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33" fillId="2" borderId="0" xfId="0" applyFont="1" applyFill="1" applyAlignment="1">
      <alignment horizontal="right" vertical="center"/>
    </xf>
    <xf numFmtId="164" fontId="27" fillId="2" borderId="0" xfId="0" applyNumberFormat="1" applyFont="1" applyFill="1"/>
    <xf numFmtId="164" fontId="16" fillId="2" borderId="0" xfId="0" applyNumberFormat="1" applyFont="1" applyFill="1"/>
    <xf numFmtId="164" fontId="34" fillId="7" borderId="15" xfId="0" applyNumberFormat="1" applyFont="1" applyFill="1" applyBorder="1"/>
    <xf numFmtId="0" fontId="27" fillId="2" borderId="0" xfId="0" applyFont="1" applyFill="1"/>
    <xf numFmtId="164" fontId="34" fillId="7" borderId="8" xfId="0" applyNumberFormat="1" applyFont="1" applyFill="1" applyBorder="1"/>
    <xf numFmtId="0" fontId="25" fillId="2" borderId="13" xfId="0" applyFont="1" applyFill="1" applyBorder="1"/>
    <xf numFmtId="164" fontId="34" fillId="2" borderId="0" xfId="0" applyNumberFormat="1" applyFont="1" applyFill="1"/>
    <xf numFmtId="0" fontId="16" fillId="2" borderId="8" xfId="0" applyFont="1" applyFill="1" applyBorder="1" applyAlignment="1">
      <alignment horizontal="left"/>
    </xf>
    <xf numFmtId="0" fontId="16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16" fillId="2" borderId="16" xfId="0" applyFont="1" applyFill="1" applyBorder="1"/>
    <xf numFmtId="0" fontId="16" fillId="2" borderId="17" xfId="0" applyFont="1" applyFill="1" applyBorder="1"/>
    <xf numFmtId="0" fontId="16" fillId="2" borderId="18" xfId="0" applyFont="1" applyFill="1" applyBorder="1"/>
    <xf numFmtId="0" fontId="16" fillId="3" borderId="9" xfId="0" applyFont="1" applyFill="1" applyBorder="1" applyAlignment="1">
      <alignment vertical="center"/>
    </xf>
    <xf numFmtId="164" fontId="34" fillId="3" borderId="9" xfId="0" applyNumberFormat="1" applyFont="1" applyFill="1" applyBorder="1" applyAlignment="1">
      <alignment vertical="center"/>
    </xf>
    <xf numFmtId="164" fontId="6" fillId="8" borderId="9" xfId="0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vertical="center"/>
    </xf>
    <xf numFmtId="164" fontId="27" fillId="2" borderId="0" xfId="0" applyNumberFormat="1" applyFont="1" applyFill="1" applyAlignment="1">
      <alignment vertical="center"/>
    </xf>
    <xf numFmtId="164" fontId="16" fillId="2" borderId="0" xfId="0" applyNumberFormat="1" applyFont="1" applyFill="1" applyAlignment="1">
      <alignment vertical="center"/>
    </xf>
    <xf numFmtId="9" fontId="23" fillId="8" borderId="9" xfId="1" applyFont="1" applyFill="1" applyBorder="1" applyAlignment="1">
      <alignment horizontal="right"/>
    </xf>
    <xf numFmtId="9" fontId="23" fillId="6" borderId="15" xfId="1" applyFont="1" applyFill="1" applyBorder="1" applyAlignment="1">
      <alignment horizontal="right"/>
    </xf>
    <xf numFmtId="9" fontId="23" fillId="6" borderId="8" xfId="1" applyFont="1" applyFill="1" applyBorder="1" applyAlignment="1">
      <alignment horizontal="right"/>
    </xf>
    <xf numFmtId="164" fontId="25" fillId="2" borderId="0" xfId="0" applyNumberFormat="1" applyFont="1" applyFill="1" applyAlignment="1">
      <alignment horizontal="right"/>
    </xf>
    <xf numFmtId="0" fontId="16" fillId="3" borderId="0" xfId="0" applyFont="1" applyFill="1" applyAlignment="1">
      <alignment vertical="center"/>
    </xf>
    <xf numFmtId="0" fontId="36" fillId="3" borderId="19" xfId="0" applyFont="1" applyFill="1" applyBorder="1" applyAlignment="1">
      <alignment vertical="center"/>
    </xf>
    <xf numFmtId="0" fontId="36" fillId="3" borderId="0" xfId="0" applyFont="1" applyFill="1" applyAlignment="1">
      <alignment vertical="center"/>
    </xf>
    <xf numFmtId="0" fontId="16" fillId="3" borderId="19" xfId="0" applyFont="1" applyFill="1" applyBorder="1" applyAlignment="1">
      <alignment vertical="center"/>
    </xf>
    <xf numFmtId="9" fontId="23" fillId="8" borderId="9" xfId="1" applyFont="1" applyFill="1" applyBorder="1" applyAlignment="1">
      <alignment horizontal="right" vertical="center"/>
    </xf>
    <xf numFmtId="9" fontId="35" fillId="2" borderId="0" xfId="1" applyFont="1" applyFill="1" applyBorder="1" applyAlignment="1">
      <alignment horizontal="right"/>
    </xf>
    <xf numFmtId="9" fontId="35" fillId="2" borderId="0" xfId="1" applyFont="1" applyFill="1" applyBorder="1" applyAlignment="1">
      <alignment horizontal="right" vertical="center"/>
    </xf>
    <xf numFmtId="0" fontId="37" fillId="2" borderId="13" xfId="0" applyFont="1" applyFill="1" applyBorder="1"/>
    <xf numFmtId="0" fontId="38" fillId="2" borderId="0" xfId="0" applyFont="1" applyFill="1"/>
    <xf numFmtId="0" fontId="37" fillId="2" borderId="0" xfId="0" applyFont="1" applyFill="1"/>
    <xf numFmtId="0" fontId="37" fillId="2" borderId="14" xfId="0" applyFont="1" applyFill="1" applyBorder="1"/>
    <xf numFmtId="0" fontId="39" fillId="2" borderId="13" xfId="0" applyFont="1" applyFill="1" applyBorder="1"/>
    <xf numFmtId="0" fontId="40" fillId="2" borderId="0" xfId="0" applyFont="1" applyFill="1"/>
    <xf numFmtId="0" fontId="41" fillId="2" borderId="0" xfId="0" applyFont="1" applyFill="1"/>
    <xf numFmtId="0" fontId="39" fillId="2" borderId="0" xfId="0" applyFont="1" applyFill="1"/>
    <xf numFmtId="0" fontId="39" fillId="2" borderId="14" xfId="0" applyFont="1" applyFill="1" applyBorder="1"/>
    <xf numFmtId="0" fontId="12" fillId="0" borderId="20" xfId="2" applyFont="1" applyBorder="1" applyAlignment="1">
      <alignment wrapText="1"/>
    </xf>
    <xf numFmtId="0" fontId="12" fillId="0" borderId="20" xfId="2" applyFont="1" applyBorder="1"/>
    <xf numFmtId="164" fontId="27" fillId="2" borderId="8" xfId="0" applyNumberFormat="1" applyFont="1" applyFill="1" applyBorder="1"/>
    <xf numFmtId="164" fontId="16" fillId="2" borderId="8" xfId="0" applyNumberFormat="1" applyFont="1" applyFill="1" applyBorder="1"/>
    <xf numFmtId="9" fontId="35" fillId="2" borderId="8" xfId="1" applyFont="1" applyFill="1" applyBorder="1" applyAlignment="1">
      <alignment horizontal="right"/>
    </xf>
    <xf numFmtId="0" fontId="6" fillId="3" borderId="9" xfId="0" applyFont="1" applyFill="1" applyBorder="1"/>
    <xf numFmtId="0" fontId="42" fillId="2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12" fillId="0" borderId="3" xfId="2" applyFont="1" applyBorder="1" applyAlignment="1">
      <alignment horizontal="center" wrapText="1"/>
    </xf>
    <xf numFmtId="165" fontId="6" fillId="3" borderId="0" xfId="3" applyFont="1" applyFill="1" applyBorder="1" applyAlignment="1">
      <alignment horizontal="center"/>
    </xf>
    <xf numFmtId="0" fontId="42" fillId="2" borderId="0" xfId="0" applyFont="1" applyFill="1" applyAlignment="1">
      <alignment horizontal="right"/>
    </xf>
    <xf numFmtId="165" fontId="6" fillId="3" borderId="0" xfId="3" applyFont="1" applyFill="1" applyBorder="1"/>
    <xf numFmtId="10" fontId="25" fillId="2" borderId="0" xfId="1" applyNumberFormat="1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166" fontId="16" fillId="3" borderId="8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/>
    </xf>
    <xf numFmtId="17" fontId="16" fillId="3" borderId="0" xfId="0" applyNumberFormat="1" applyFont="1" applyFill="1" applyAlignment="1">
      <alignment horizontal="center"/>
    </xf>
    <xf numFmtId="17" fontId="16" fillId="3" borderId="14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22" fillId="7" borderId="5" xfId="0" applyFont="1" applyFill="1" applyBorder="1" applyAlignment="1">
      <alignment horizontal="center" vertical="center"/>
    </xf>
    <xf numFmtId="0" fontId="22" fillId="7" borderId="6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/>
    </xf>
    <xf numFmtId="14" fontId="16" fillId="3" borderId="0" xfId="0" applyNumberFormat="1" applyFont="1" applyFill="1"/>
    <xf numFmtId="14" fontId="16" fillId="3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7" fontId="16" fillId="3" borderId="0" xfId="0" applyNumberFormat="1" applyFont="1" applyFill="1" applyAlignment="1">
      <alignment horizontal="left" vertical="center"/>
    </xf>
    <xf numFmtId="14" fontId="16" fillId="3" borderId="0" xfId="0" applyNumberFormat="1" applyFont="1" applyFill="1" applyAlignment="1">
      <alignment horizontal="left" vertical="center"/>
    </xf>
    <xf numFmtId="0" fontId="36" fillId="3" borderId="19" xfId="0" applyFont="1" applyFill="1" applyBorder="1" applyAlignment="1">
      <alignment horizontal="left" vertical="center"/>
    </xf>
    <xf numFmtId="0" fontId="36" fillId="3" borderId="0" xfId="0" applyFont="1" applyFill="1" applyAlignment="1">
      <alignment horizontal="left" vertical="center"/>
    </xf>
    <xf numFmtId="0" fontId="6" fillId="9" borderId="9" xfId="0" applyFont="1" applyFill="1" applyBorder="1"/>
    <xf numFmtId="0" fontId="16" fillId="9" borderId="9" xfId="0" applyFont="1" applyFill="1" applyBorder="1"/>
    <xf numFmtId="0" fontId="16" fillId="9" borderId="0" xfId="0" applyFont="1" applyFill="1"/>
    <xf numFmtId="164" fontId="34" fillId="9" borderId="9" xfId="0" applyNumberFormat="1" applyFont="1" applyFill="1" applyBorder="1"/>
    <xf numFmtId="164" fontId="6" fillId="9" borderId="9" xfId="0" applyNumberFormat="1" applyFont="1" applyFill="1" applyBorder="1"/>
    <xf numFmtId="164" fontId="6" fillId="9" borderId="0" xfId="0" applyNumberFormat="1" applyFont="1" applyFill="1"/>
    <xf numFmtId="9" fontId="23" fillId="9" borderId="9" xfId="1" applyFont="1" applyFill="1" applyBorder="1" applyAlignment="1">
      <alignment horizontal="right"/>
    </xf>
  </cellXfs>
  <cellStyles count="4">
    <cellStyle name="Millares" xfId="3" builtinId="3"/>
    <cellStyle name="Normal" xfId="0" builtinId="0"/>
    <cellStyle name="Normal_Hoja2_1 2" xfId="2" xr:uid="{00000000-0005-0000-0000-000002000000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Radio" checked="Checked" firstButton="1" lockText="1"/>
</file>

<file path=xl/ctrlProps/ctrlProp2.xml><?xml version="1.0" encoding="utf-8"?>
<formControlPr xmlns="http://schemas.microsoft.com/office/spreadsheetml/2009/9/main" objectType="Radio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CheckBox" checked="Checked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checked="Checked" lockText="1"/>
</file>

<file path=xl/ctrlProps/ctrlProp11.xml><?xml version="1.0" encoding="utf-8"?>
<formControlPr xmlns="http://schemas.microsoft.com/office/spreadsheetml/2009/9/main" objectType="CheckBox" checked="Checked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checked="Checked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checked="Checked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checked="Checked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checked="Checked" lockText="1"/>
</file>

<file path=xl/ctrlProps/ctrlProp23.xml><?xml version="1.0" encoding="utf-8"?>
<formControlPr xmlns="http://schemas.microsoft.com/office/spreadsheetml/2009/9/main" objectType="CheckBox" checked="Checked" lockText="1"/>
</file>

<file path=xl/ctrlProps/ctrlProp24.xml><?xml version="1.0" encoding="utf-8"?>
<formControlPr xmlns="http://schemas.microsoft.com/office/spreadsheetml/2009/9/main" objectType="CheckBox" checked="Checked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Radio" firstButton="1" lockText="1"/>
</file>

<file path=xl/ctrlProps/ctrlProp27.xml><?xml version="1.0" encoding="utf-8"?>
<formControlPr xmlns="http://schemas.microsoft.com/office/spreadsheetml/2009/9/main" objectType="Radio" checked="Checked" lockText="1"/>
</file>

<file path=xl/ctrlProps/ctrlProp28.xml><?xml version="1.0" encoding="utf-8"?>
<formControlPr xmlns="http://schemas.microsoft.com/office/spreadsheetml/2009/9/main" objectType="Radio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checked="Checked" lockText="1"/>
</file>

<file path=xl/ctrlProps/ctrlProp33.xml><?xml version="1.0" encoding="utf-8"?>
<formControlPr xmlns="http://schemas.microsoft.com/office/spreadsheetml/2009/9/main" objectType="CheckBox" checked="Checked" lockText="1"/>
</file>

<file path=xl/ctrlProps/ctrlProp34.xml><?xml version="1.0" encoding="utf-8"?>
<formControlPr xmlns="http://schemas.microsoft.com/office/spreadsheetml/2009/9/main" objectType="CheckBox" checked="Checked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123825</xdr:colOff>
      <xdr:row>1</xdr:row>
      <xdr:rowOff>9525</xdr:rowOff>
    </xdr:from>
    <xdr:to>
      <xdr:col>18</xdr:col>
      <xdr:colOff>361950</xdr:colOff>
      <xdr:row>4</xdr:row>
      <xdr:rowOff>17698</xdr:rowOff>
    </xdr:to>
    <xdr:pic>
      <xdr:nvPicPr>
        <xdr:cNvPr id="3" name="10 Imagen" descr="Descripción: Close-Up_International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38825" y="66675"/>
          <a:ext cx="1266825" cy="379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12</xdr:row>
          <xdr:rowOff>142875</xdr:rowOff>
        </xdr:from>
        <xdr:to>
          <xdr:col>12</xdr:col>
          <xdr:colOff>19050</xdr:colOff>
          <xdr:row>14</xdr:row>
          <xdr:rowOff>19050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13</xdr:row>
          <xdr:rowOff>104775</xdr:rowOff>
        </xdr:from>
        <xdr:to>
          <xdr:col>12</xdr:col>
          <xdr:colOff>19050</xdr:colOff>
          <xdr:row>15</xdr:row>
          <xdr:rowOff>19050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14</xdr:row>
          <xdr:rowOff>104775</xdr:rowOff>
        </xdr:from>
        <xdr:to>
          <xdr:col>12</xdr:col>
          <xdr:colOff>19050</xdr:colOff>
          <xdr:row>16</xdr:row>
          <xdr:rowOff>19050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66675</xdr:rowOff>
        </xdr:from>
        <xdr:to>
          <xdr:col>10</xdr:col>
          <xdr:colOff>495300</xdr:colOff>
          <xdr:row>13</xdr:row>
          <xdr:rowOff>47625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304800</xdr:colOff>
          <xdr:row>11</xdr:row>
          <xdr:rowOff>66675</xdr:rowOff>
        </xdr:from>
        <xdr:to>
          <xdr:col>2</xdr:col>
          <xdr:colOff>152400</xdr:colOff>
          <xdr:row>13</xdr:row>
          <xdr:rowOff>47625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88</xdr:row>
          <xdr:rowOff>114300</xdr:rowOff>
        </xdr:from>
        <xdr:to>
          <xdr:col>6</xdr:col>
          <xdr:colOff>438150</xdr:colOff>
          <xdr:row>90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90</xdr:row>
          <xdr:rowOff>114300</xdr:rowOff>
        </xdr:from>
        <xdr:to>
          <xdr:col>6</xdr:col>
          <xdr:colOff>438150</xdr:colOff>
          <xdr:row>92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92</xdr:row>
          <xdr:rowOff>114300</xdr:rowOff>
        </xdr:from>
        <xdr:to>
          <xdr:col>6</xdr:col>
          <xdr:colOff>438150</xdr:colOff>
          <xdr:row>94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88</xdr:row>
          <xdr:rowOff>114300</xdr:rowOff>
        </xdr:from>
        <xdr:to>
          <xdr:col>10</xdr:col>
          <xdr:colOff>161925</xdr:colOff>
          <xdr:row>90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90</xdr:row>
          <xdr:rowOff>114300</xdr:rowOff>
        </xdr:from>
        <xdr:to>
          <xdr:col>10</xdr:col>
          <xdr:colOff>161925</xdr:colOff>
          <xdr:row>92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92</xdr:row>
          <xdr:rowOff>114300</xdr:rowOff>
        </xdr:from>
        <xdr:to>
          <xdr:col>10</xdr:col>
          <xdr:colOff>161925</xdr:colOff>
          <xdr:row>94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94</xdr:row>
          <xdr:rowOff>114300</xdr:rowOff>
        </xdr:from>
        <xdr:to>
          <xdr:col>6</xdr:col>
          <xdr:colOff>438150</xdr:colOff>
          <xdr:row>96</xdr:row>
          <xdr:rowOff>19050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94</xdr:row>
          <xdr:rowOff>114300</xdr:rowOff>
        </xdr:from>
        <xdr:to>
          <xdr:col>10</xdr:col>
          <xdr:colOff>161925</xdr:colOff>
          <xdr:row>96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22</xdr:row>
          <xdr:rowOff>76200</xdr:rowOff>
        </xdr:from>
        <xdr:to>
          <xdr:col>15</xdr:col>
          <xdr:colOff>152400</xdr:colOff>
          <xdr:row>24</xdr:row>
          <xdr:rowOff>57150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23</xdr:row>
          <xdr:rowOff>133350</xdr:rowOff>
        </xdr:from>
        <xdr:to>
          <xdr:col>15</xdr:col>
          <xdr:colOff>152400</xdr:colOff>
          <xdr:row>25</xdr:row>
          <xdr:rowOff>47625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22</xdr:row>
          <xdr:rowOff>76200</xdr:rowOff>
        </xdr:from>
        <xdr:to>
          <xdr:col>15</xdr:col>
          <xdr:colOff>152400</xdr:colOff>
          <xdr:row>24</xdr:row>
          <xdr:rowOff>57150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23</xdr:row>
          <xdr:rowOff>133350</xdr:rowOff>
        </xdr:from>
        <xdr:to>
          <xdr:col>15</xdr:col>
          <xdr:colOff>152400</xdr:colOff>
          <xdr:row>25</xdr:row>
          <xdr:rowOff>47625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1</xdr:row>
      <xdr:rowOff>0</xdr:rowOff>
    </xdr:from>
    <xdr:to>
      <xdr:col>12</xdr:col>
      <xdr:colOff>419100</xdr:colOff>
      <xdr:row>4</xdr:row>
      <xdr:rowOff>8173</xdr:rowOff>
    </xdr:to>
    <xdr:pic>
      <xdr:nvPicPr>
        <xdr:cNvPr id="3" name="10 Imagen" descr="Descripción: Close-Up_International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33900" y="57150"/>
          <a:ext cx="1266825" cy="379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84</xdr:row>
          <xdr:rowOff>114300</xdr:rowOff>
        </xdr:from>
        <xdr:to>
          <xdr:col>5</xdr:col>
          <xdr:colOff>304800</xdr:colOff>
          <xdr:row>86</xdr:row>
          <xdr:rowOff>19050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86</xdr:row>
          <xdr:rowOff>114300</xdr:rowOff>
        </xdr:from>
        <xdr:to>
          <xdr:col>5</xdr:col>
          <xdr:colOff>304800</xdr:colOff>
          <xdr:row>88</xdr:row>
          <xdr:rowOff>19050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88</xdr:row>
          <xdr:rowOff>114300</xdr:rowOff>
        </xdr:from>
        <xdr:to>
          <xdr:col>5</xdr:col>
          <xdr:colOff>304800</xdr:colOff>
          <xdr:row>90</xdr:row>
          <xdr:rowOff>19050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84</xdr:row>
          <xdr:rowOff>114300</xdr:rowOff>
        </xdr:from>
        <xdr:to>
          <xdr:col>7</xdr:col>
          <xdr:colOff>504825</xdr:colOff>
          <xdr:row>86</xdr:row>
          <xdr:rowOff>19050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86</xdr:row>
          <xdr:rowOff>114300</xdr:rowOff>
        </xdr:from>
        <xdr:to>
          <xdr:col>7</xdr:col>
          <xdr:colOff>504825</xdr:colOff>
          <xdr:row>88</xdr:row>
          <xdr:rowOff>19050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88</xdr:row>
          <xdr:rowOff>114300</xdr:rowOff>
        </xdr:from>
        <xdr:to>
          <xdr:col>7</xdr:col>
          <xdr:colOff>504825</xdr:colOff>
          <xdr:row>90</xdr:row>
          <xdr:rowOff>19050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</xdr:row>
          <xdr:rowOff>66675</xdr:rowOff>
        </xdr:from>
        <xdr:to>
          <xdr:col>7</xdr:col>
          <xdr:colOff>190500</xdr:colOff>
          <xdr:row>13</xdr:row>
          <xdr:rowOff>47625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333375</xdr:colOff>
          <xdr:row>11</xdr:row>
          <xdr:rowOff>66675</xdr:rowOff>
        </xdr:from>
        <xdr:to>
          <xdr:col>2</xdr:col>
          <xdr:colOff>171450</xdr:colOff>
          <xdr:row>13</xdr:row>
          <xdr:rowOff>47625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12</xdr:row>
          <xdr:rowOff>152400</xdr:rowOff>
        </xdr:from>
        <xdr:to>
          <xdr:col>7</xdr:col>
          <xdr:colOff>733425</xdr:colOff>
          <xdr:row>14</xdr:row>
          <xdr:rowOff>28575</xdr:rowOff>
        </xdr:to>
        <xdr:sp macro="" textlink="">
          <xdr:nvSpPr>
            <xdr:cNvPr id="3081" name="Option Button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13</xdr:row>
          <xdr:rowOff>114300</xdr:rowOff>
        </xdr:from>
        <xdr:to>
          <xdr:col>7</xdr:col>
          <xdr:colOff>733425</xdr:colOff>
          <xdr:row>15</xdr:row>
          <xdr:rowOff>28575</xdr:rowOff>
        </xdr:to>
        <xdr:sp macro="" textlink="">
          <xdr:nvSpPr>
            <xdr:cNvPr id="3082" name="Option Button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14</xdr:row>
          <xdr:rowOff>114300</xdr:rowOff>
        </xdr:from>
        <xdr:to>
          <xdr:col>7</xdr:col>
          <xdr:colOff>733425</xdr:colOff>
          <xdr:row>16</xdr:row>
          <xdr:rowOff>28575</xdr:rowOff>
        </xdr:to>
        <xdr:sp macro="" textlink="">
          <xdr:nvSpPr>
            <xdr:cNvPr id="3083" name="Option Button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1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90</xdr:row>
          <xdr:rowOff>114300</xdr:rowOff>
        </xdr:from>
        <xdr:to>
          <xdr:col>5</xdr:col>
          <xdr:colOff>304800</xdr:colOff>
          <xdr:row>92</xdr:row>
          <xdr:rowOff>19050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1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90</xdr:row>
          <xdr:rowOff>114300</xdr:rowOff>
        </xdr:from>
        <xdr:to>
          <xdr:col>7</xdr:col>
          <xdr:colOff>504825</xdr:colOff>
          <xdr:row>92</xdr:row>
          <xdr:rowOff>19050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1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90</xdr:row>
          <xdr:rowOff>114300</xdr:rowOff>
        </xdr:from>
        <xdr:to>
          <xdr:col>5</xdr:col>
          <xdr:colOff>304800</xdr:colOff>
          <xdr:row>92</xdr:row>
          <xdr:rowOff>19050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90</xdr:row>
          <xdr:rowOff>114300</xdr:rowOff>
        </xdr:from>
        <xdr:to>
          <xdr:col>7</xdr:col>
          <xdr:colOff>504825</xdr:colOff>
          <xdr:row>92</xdr:row>
          <xdr:rowOff>19050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1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22</xdr:row>
          <xdr:rowOff>66675</xdr:rowOff>
        </xdr:from>
        <xdr:to>
          <xdr:col>9</xdr:col>
          <xdr:colOff>28575</xdr:colOff>
          <xdr:row>24</xdr:row>
          <xdr:rowOff>47625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23</xdr:row>
          <xdr:rowOff>133350</xdr:rowOff>
        </xdr:from>
        <xdr:to>
          <xdr:col>9</xdr:col>
          <xdr:colOff>28575</xdr:colOff>
          <xdr:row>25</xdr:row>
          <xdr:rowOff>47625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1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mun02\CONTROLLING%202010\Formularios\ABM%20de%20Contratos\ABM%20Auditor&#237;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M Prescription Audits"/>
      <sheetName val="e-mail Form Audits"/>
      <sheetName val="Tablas"/>
    </sheetNames>
    <sheetDataSet>
      <sheetData sheetId="0" refreshError="1"/>
      <sheetData sheetId="1" refreshError="1"/>
      <sheetData sheetId="2">
        <row r="6">
          <cell r="A6" t="str">
            <v>Argentina</v>
          </cell>
          <cell r="B6" t="str">
            <v>Pharma Mix</v>
          </cell>
          <cell r="C6" t="str">
            <v>Presupuesto aprobado</v>
          </cell>
          <cell r="D6" t="str">
            <v>12 meses</v>
          </cell>
          <cell r="E6" t="str">
            <v>Dólar</v>
          </cell>
        </row>
        <row r="7">
          <cell r="A7" t="str">
            <v>Brasil</v>
          </cell>
          <cell r="B7" t="str">
            <v>Pharma Mix Focus</v>
          </cell>
          <cell r="C7" t="str">
            <v>Contrato Firmado</v>
          </cell>
          <cell r="D7" t="str">
            <v>24 meses</v>
          </cell>
          <cell r="E7" t="str">
            <v>Euro</v>
          </cell>
        </row>
        <row r="8">
          <cell r="A8" t="str">
            <v>México</v>
          </cell>
          <cell r="B8" t="str">
            <v>Close-Up Analyzer</v>
          </cell>
          <cell r="D8" t="str">
            <v>36 meses</v>
          </cell>
          <cell r="E8" t="str">
            <v>Real</v>
          </cell>
        </row>
        <row r="9">
          <cell r="A9" t="str">
            <v>España</v>
          </cell>
          <cell r="B9" t="str">
            <v>Close-Up Analyzer Reps</v>
          </cell>
          <cell r="D9" t="str">
            <v>1 mes</v>
          </cell>
        </row>
        <row r="10">
          <cell r="A10" t="str">
            <v>Chile</v>
          </cell>
          <cell r="B10" t="str">
            <v>Prescriber's</v>
          </cell>
          <cell r="D10" t="str">
            <v>2 meses</v>
          </cell>
        </row>
        <row r="11">
          <cell r="A11" t="str">
            <v>Perú</v>
          </cell>
          <cell r="B11" t="str">
            <v>Regional Analyzer</v>
          </cell>
          <cell r="D11" t="str">
            <v>3 meses</v>
          </cell>
        </row>
        <row r="12">
          <cell r="A12" t="str">
            <v>Colombia</v>
          </cell>
          <cell r="B12" t="str">
            <v>Recepta</v>
          </cell>
          <cell r="D12" t="str">
            <v>4 meses</v>
          </cell>
        </row>
        <row r="13">
          <cell r="A13" t="str">
            <v>Ecuador</v>
          </cell>
          <cell r="B13" t="str">
            <v>Focus PPC</v>
          </cell>
          <cell r="D13" t="str">
            <v>5 meses</v>
          </cell>
        </row>
        <row r="14">
          <cell r="A14" t="str">
            <v>Paraguay</v>
          </cell>
          <cell r="B14" t="str">
            <v>Estudio_Especial</v>
          </cell>
          <cell r="D14" t="str">
            <v>6 meses</v>
          </cell>
        </row>
        <row r="15">
          <cell r="A15" t="str">
            <v>Uruguay</v>
          </cell>
          <cell r="B15" t="str">
            <v>Quick Data</v>
          </cell>
          <cell r="D15" t="str">
            <v>7 meses</v>
          </cell>
        </row>
        <row r="16">
          <cell r="A16" t="str">
            <v>Centroamérica</v>
          </cell>
          <cell r="B16" t="str">
            <v>Hospital Report</v>
          </cell>
          <cell r="D16" t="str">
            <v>8 meses</v>
          </cell>
        </row>
        <row r="17">
          <cell r="A17" t="str">
            <v>Bolivia</v>
          </cell>
          <cell r="B17" t="str">
            <v>Data Mart O.S.</v>
          </cell>
          <cell r="D17" t="str">
            <v>9 meses</v>
          </cell>
        </row>
        <row r="18">
          <cell r="A18" t="str">
            <v>Venezuela</v>
          </cell>
          <cell r="B18" t="str">
            <v>Close-Up Market</v>
          </cell>
          <cell r="D18" t="str">
            <v>10 meses</v>
          </cell>
        </row>
        <row r="19">
          <cell r="A19" t="str">
            <v>EEUU</v>
          </cell>
          <cell r="B19" t="str">
            <v>Close-Up Targeting</v>
          </cell>
          <cell r="D19" t="str">
            <v>11 meses</v>
          </cell>
        </row>
        <row r="20">
          <cell r="A20" t="str">
            <v>Portugal</v>
          </cell>
          <cell r="B20" t="str">
            <v>Close-Up Rep's</v>
          </cell>
          <cell r="D20" t="str">
            <v>12 meses</v>
          </cell>
        </row>
        <row r="21">
          <cell r="A21" t="str">
            <v>Suiza</v>
          </cell>
          <cell r="B21" t="str">
            <v>Integrador Pharma Mix</v>
          </cell>
          <cell r="D21" t="str">
            <v>13 meses</v>
          </cell>
        </row>
        <row r="22">
          <cell r="B22" t="str">
            <v>Integrador Analyzer</v>
          </cell>
          <cell r="D22" t="str">
            <v>14 meses</v>
          </cell>
        </row>
        <row r="23">
          <cell r="B23" t="str">
            <v>Otros</v>
          </cell>
          <cell r="D23" t="str">
            <v>15 meses</v>
          </cell>
        </row>
        <row r="24">
          <cell r="D24" t="str">
            <v>16 meses</v>
          </cell>
        </row>
        <row r="25">
          <cell r="D25" t="str">
            <v>17 meses</v>
          </cell>
        </row>
        <row r="26">
          <cell r="D26" t="str">
            <v>18 meses</v>
          </cell>
        </row>
        <row r="27">
          <cell r="D27" t="str">
            <v>19 meses</v>
          </cell>
        </row>
        <row r="28">
          <cell r="D28" t="str">
            <v>20 meses</v>
          </cell>
        </row>
        <row r="29">
          <cell r="D29" t="str">
            <v>21 meses</v>
          </cell>
        </row>
        <row r="30">
          <cell r="D30" t="str">
            <v>22 meses</v>
          </cell>
        </row>
        <row r="31">
          <cell r="D31" t="str">
            <v>23 meses</v>
          </cell>
        </row>
        <row r="32">
          <cell r="D32" t="str">
            <v>24 meses</v>
          </cell>
        </row>
        <row r="33">
          <cell r="D33" t="str">
            <v>25 meses</v>
          </cell>
        </row>
        <row r="34">
          <cell r="D34" t="str">
            <v>26 meses</v>
          </cell>
        </row>
        <row r="35">
          <cell r="D35" t="str">
            <v>27 meses</v>
          </cell>
        </row>
        <row r="36">
          <cell r="D36" t="str">
            <v>28 meses</v>
          </cell>
        </row>
        <row r="37">
          <cell r="D37" t="str">
            <v>29 meses</v>
          </cell>
        </row>
        <row r="38">
          <cell r="D38" t="str">
            <v>30 meses</v>
          </cell>
        </row>
        <row r="39">
          <cell r="D39" t="str">
            <v>31 meses</v>
          </cell>
        </row>
        <row r="40">
          <cell r="D40" t="str">
            <v>32 meses</v>
          </cell>
        </row>
        <row r="41">
          <cell r="D41" t="str">
            <v>33 meses</v>
          </cell>
        </row>
        <row r="42">
          <cell r="D42" t="str">
            <v>34 meses</v>
          </cell>
        </row>
        <row r="43">
          <cell r="D43" t="str">
            <v>35 meses</v>
          </cell>
        </row>
        <row r="44">
          <cell r="D44" t="str">
            <v>36 meses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2.xml"/><Relationship Id="rId13" Type="http://schemas.openxmlformats.org/officeDocument/2006/relationships/ctrlProp" Target="../ctrlProps/ctrlProp27.xml"/><Relationship Id="rId18" Type="http://schemas.openxmlformats.org/officeDocument/2006/relationships/ctrlProp" Target="../ctrlProps/ctrlProp3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21.xml"/><Relationship Id="rId12" Type="http://schemas.openxmlformats.org/officeDocument/2006/relationships/ctrlProp" Target="../ctrlProps/ctrlProp26.xml"/><Relationship Id="rId17" Type="http://schemas.openxmlformats.org/officeDocument/2006/relationships/ctrlProp" Target="../ctrlProps/ctrlProp31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0.xml"/><Relationship Id="rId20" Type="http://schemas.openxmlformats.org/officeDocument/2006/relationships/ctrlProp" Target="../ctrlProps/ctrlProp3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0.xml"/><Relationship Id="rId11" Type="http://schemas.openxmlformats.org/officeDocument/2006/relationships/ctrlProp" Target="../ctrlProps/ctrlProp25.xml"/><Relationship Id="rId5" Type="http://schemas.openxmlformats.org/officeDocument/2006/relationships/ctrlProp" Target="../ctrlProps/ctrlProp19.xml"/><Relationship Id="rId15" Type="http://schemas.openxmlformats.org/officeDocument/2006/relationships/ctrlProp" Target="../ctrlProps/ctrlProp29.xml"/><Relationship Id="rId10" Type="http://schemas.openxmlformats.org/officeDocument/2006/relationships/ctrlProp" Target="../ctrlProps/ctrlProp24.xml"/><Relationship Id="rId19" Type="http://schemas.openxmlformats.org/officeDocument/2006/relationships/ctrlProp" Target="../ctrlProps/ctrlProp33.xml"/><Relationship Id="rId4" Type="http://schemas.openxmlformats.org/officeDocument/2006/relationships/ctrlProp" Target="../ctrlProps/ctrlProp18.xml"/><Relationship Id="rId9" Type="http://schemas.openxmlformats.org/officeDocument/2006/relationships/ctrlProp" Target="../ctrlProps/ctrlProp23.xml"/><Relationship Id="rId14" Type="http://schemas.openxmlformats.org/officeDocument/2006/relationships/ctrlProp" Target="../ctrlProps/ctrlProp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8"/>
  <sheetViews>
    <sheetView tabSelected="1" topLeftCell="A36" zoomScaleNormal="100" workbookViewId="0">
      <selection activeCell="U74" sqref="U74"/>
    </sheetView>
  </sheetViews>
  <sheetFormatPr baseColWidth="10" defaultColWidth="11.42578125" defaultRowHeight="12" x14ac:dyDescent="0.2"/>
  <cols>
    <col min="1" max="1" width="2.140625" style="12" customWidth="1"/>
    <col min="2" max="2" width="8" style="12" customWidth="1"/>
    <col min="3" max="3" width="8.7109375" style="12" customWidth="1"/>
    <col min="4" max="4" width="1.7109375" style="12" customWidth="1"/>
    <col min="5" max="5" width="5.140625" style="12" customWidth="1"/>
    <col min="6" max="6" width="6.42578125" style="12" customWidth="1"/>
    <col min="7" max="8" width="7.140625" style="12" customWidth="1"/>
    <col min="9" max="9" width="1.7109375" style="12" customWidth="1"/>
    <col min="10" max="10" width="5.140625" style="12" customWidth="1"/>
    <col min="11" max="11" width="8.28515625" style="12" customWidth="1"/>
    <col min="12" max="12" width="8.42578125" style="12" customWidth="1"/>
    <col min="13" max="13" width="7.28515625" style="12" customWidth="1"/>
    <col min="14" max="14" width="1.7109375" style="12" customWidth="1"/>
    <col min="15" max="15" width="5.140625" style="12" customWidth="1"/>
    <col min="16" max="16" width="7.140625" style="12" customWidth="1"/>
    <col min="17" max="17" width="8.28515625" style="12" customWidth="1"/>
    <col min="18" max="18" width="8" style="12" customWidth="1"/>
    <col min="19" max="19" width="5.85546875" style="12" customWidth="1"/>
    <col min="20" max="20" width="0.85546875" style="12" customWidth="1"/>
    <col min="21" max="16384" width="11.42578125" style="12"/>
  </cols>
  <sheetData>
    <row r="1" spans="1:20" ht="5.0999999999999996" customHeight="1" x14ac:dyDescent="0.2">
      <c r="A1" s="43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5"/>
    </row>
    <row r="2" spans="1:20" ht="9.9499999999999993" customHeight="1" x14ac:dyDescent="0.2">
      <c r="A2" s="46"/>
      <c r="T2" s="47"/>
    </row>
    <row r="3" spans="1:20" ht="9.9499999999999993" customHeight="1" x14ac:dyDescent="0.2">
      <c r="A3" s="46"/>
      <c r="T3" s="47"/>
    </row>
    <row r="4" spans="1:20" ht="9.9499999999999993" customHeight="1" x14ac:dyDescent="0.2">
      <c r="A4" s="46"/>
      <c r="T4" s="47"/>
    </row>
    <row r="5" spans="1:20" s="1" customFormat="1" ht="26.25" x14ac:dyDescent="0.4">
      <c r="A5" s="48"/>
      <c r="B5" s="5" t="s">
        <v>7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T5" s="49"/>
    </row>
    <row r="6" spans="1:20" s="107" customFormat="1" ht="18.75" x14ac:dyDescent="0.3">
      <c r="A6" s="105"/>
      <c r="B6" s="106" t="s">
        <v>162</v>
      </c>
      <c r="T6" s="108"/>
    </row>
    <row r="7" spans="1:20" s="1" customFormat="1" ht="15" x14ac:dyDescent="0.25">
      <c r="A7" s="48"/>
      <c r="T7" s="49"/>
    </row>
    <row r="8" spans="1:20" s="18" customFormat="1" ht="15" customHeight="1" x14ac:dyDescent="0.2">
      <c r="A8" s="50"/>
      <c r="B8" s="14" t="s">
        <v>29</v>
      </c>
      <c r="D8" s="132" t="s">
        <v>22</v>
      </c>
      <c r="E8" s="132"/>
      <c r="F8" s="132"/>
      <c r="G8" s="132"/>
      <c r="Q8" s="28" t="s">
        <v>9</v>
      </c>
      <c r="R8" s="140">
        <v>45793</v>
      </c>
      <c r="S8" s="140"/>
      <c r="T8" s="51"/>
    </row>
    <row r="9" spans="1:20" s="1" customFormat="1" ht="5.0999999999999996" customHeight="1" x14ac:dyDescent="0.25">
      <c r="A9" s="48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9"/>
    </row>
    <row r="10" spans="1:20" s="1" customFormat="1" ht="5.0999999999999996" customHeight="1" x14ac:dyDescent="0.25">
      <c r="A10" s="48"/>
      <c r="T10" s="49"/>
    </row>
    <row r="11" spans="1:20" s="18" customFormat="1" ht="15" customHeight="1" x14ac:dyDescent="0.25">
      <c r="A11" s="50"/>
      <c r="B11" s="2" t="s">
        <v>33</v>
      </c>
      <c r="K11" s="31" t="s">
        <v>102</v>
      </c>
      <c r="L11" s="31"/>
      <c r="P11" s="132"/>
      <c r="Q11" s="132"/>
      <c r="R11" s="132"/>
      <c r="S11" s="132"/>
      <c r="T11" s="51"/>
    </row>
    <row r="12" spans="1:20" ht="9.9499999999999993" customHeight="1" x14ac:dyDescent="0.2">
      <c r="A12" s="46"/>
      <c r="T12" s="47"/>
    </row>
    <row r="13" spans="1:20" s="18" customFormat="1" ht="15" customHeight="1" x14ac:dyDescent="0.25">
      <c r="A13" s="50"/>
      <c r="C13" s="31" t="s">
        <v>27</v>
      </c>
      <c r="L13" s="31" t="s">
        <v>28</v>
      </c>
      <c r="M13" s="31"/>
      <c r="O13" s="31"/>
      <c r="T13" s="51"/>
    </row>
    <row r="14" spans="1:20" x14ac:dyDescent="0.2">
      <c r="A14" s="46"/>
      <c r="M14" s="32" t="s">
        <v>93</v>
      </c>
      <c r="N14" s="32"/>
      <c r="T14" s="47"/>
    </row>
    <row r="15" spans="1:20" x14ac:dyDescent="0.2">
      <c r="A15" s="46"/>
      <c r="M15" s="32" t="s">
        <v>94</v>
      </c>
      <c r="N15" s="32"/>
      <c r="T15" s="47"/>
    </row>
    <row r="16" spans="1:20" x14ac:dyDescent="0.2">
      <c r="A16" s="46"/>
      <c r="M16" s="32" t="s">
        <v>95</v>
      </c>
      <c r="N16" s="32"/>
      <c r="T16" s="47"/>
    </row>
    <row r="17" spans="1:20" ht="5.0999999999999996" customHeight="1" x14ac:dyDescent="0.2">
      <c r="A17" s="46"/>
      <c r="T17" s="47"/>
    </row>
    <row r="18" spans="1:20" s="10" customFormat="1" ht="3" customHeight="1" x14ac:dyDescent="0.2">
      <c r="A18" s="52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53"/>
    </row>
    <row r="19" spans="1:20" s="10" customFormat="1" ht="5.0999999999999996" customHeight="1" x14ac:dyDescent="0.2">
      <c r="A19" s="52"/>
      <c r="T19" s="53"/>
    </row>
    <row r="20" spans="1:20" ht="15" customHeight="1" x14ac:dyDescent="0.2">
      <c r="A20" s="46"/>
      <c r="B20" s="2" t="s">
        <v>32</v>
      </c>
      <c r="T20" s="47"/>
    </row>
    <row r="21" spans="1:20" ht="9.9499999999999993" customHeight="1" x14ac:dyDescent="0.2">
      <c r="A21" s="46"/>
      <c r="T21" s="47"/>
    </row>
    <row r="22" spans="1:20" s="18" customFormat="1" ht="15" customHeight="1" x14ac:dyDescent="0.25">
      <c r="A22" s="50"/>
      <c r="B22" s="31" t="s">
        <v>37</v>
      </c>
      <c r="D22" s="132" t="s">
        <v>166</v>
      </c>
      <c r="E22" s="132"/>
      <c r="F22" s="132"/>
      <c r="G22" s="132"/>
      <c r="H22" s="132"/>
      <c r="I22" s="132"/>
      <c r="L22" s="31" t="s">
        <v>38</v>
      </c>
      <c r="O22" s="132" t="s">
        <v>165</v>
      </c>
      <c r="P22" s="132"/>
      <c r="Q22" s="132"/>
      <c r="R22" s="132"/>
      <c r="S22" s="132"/>
      <c r="T22" s="51"/>
    </row>
    <row r="23" spans="1:20" ht="9.9499999999999993" customHeight="1" x14ac:dyDescent="0.2">
      <c r="A23" s="46"/>
      <c r="T23" s="47"/>
    </row>
    <row r="24" spans="1:20" s="18" customFormat="1" ht="15" customHeight="1" thickBot="1" x14ac:dyDescent="0.25">
      <c r="A24" s="50"/>
      <c r="B24" s="3" t="s">
        <v>84</v>
      </c>
      <c r="F24" s="12"/>
      <c r="G24" s="141">
        <v>45770</v>
      </c>
      <c r="H24" s="142"/>
      <c r="I24" s="142"/>
      <c r="L24" s="31" t="s">
        <v>142</v>
      </c>
      <c r="P24" s="99" t="s">
        <v>35</v>
      </c>
      <c r="Q24" s="101"/>
      <c r="R24" s="101"/>
      <c r="S24" s="101"/>
      <c r="T24" s="51"/>
    </row>
    <row r="25" spans="1:20" s="18" customFormat="1" ht="15" customHeight="1" x14ac:dyDescent="0.2">
      <c r="A25" s="50"/>
      <c r="B25" s="3"/>
      <c r="F25" s="12"/>
      <c r="L25" s="31"/>
      <c r="O25" s="12"/>
      <c r="P25" s="100" t="s">
        <v>36</v>
      </c>
      <c r="Q25" s="98"/>
      <c r="R25" s="98"/>
      <c r="S25" s="98"/>
      <c r="T25" s="51"/>
    </row>
    <row r="26" spans="1:20" ht="9.9499999999999993" customHeight="1" x14ac:dyDescent="0.2">
      <c r="A26" s="46"/>
      <c r="T26" s="47"/>
    </row>
    <row r="27" spans="1:20" ht="15" customHeight="1" x14ac:dyDescent="0.2">
      <c r="A27" s="46"/>
      <c r="B27" s="31" t="s">
        <v>92</v>
      </c>
      <c r="C27" s="18"/>
      <c r="D27" s="132" t="s">
        <v>45</v>
      </c>
      <c r="E27" s="132"/>
      <c r="F27" s="132"/>
      <c r="G27" s="132"/>
      <c r="I27" s="13"/>
      <c r="J27" s="135" t="s">
        <v>85</v>
      </c>
      <c r="K27" s="135"/>
      <c r="L27" s="135"/>
      <c r="M27" s="33" t="s">
        <v>40</v>
      </c>
      <c r="N27" s="133">
        <v>45778</v>
      </c>
      <c r="O27" s="133"/>
      <c r="P27" s="133"/>
      <c r="Q27" s="33" t="s">
        <v>41</v>
      </c>
      <c r="R27" s="133"/>
      <c r="S27" s="133"/>
      <c r="T27" s="134"/>
    </row>
    <row r="28" spans="1:20" ht="5.0999999999999996" customHeight="1" x14ac:dyDescent="0.2">
      <c r="A28" s="46"/>
      <c r="T28" s="47"/>
    </row>
    <row r="29" spans="1:20" s="10" customFormat="1" ht="3" customHeight="1" x14ac:dyDescent="0.2">
      <c r="A29" s="52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53"/>
    </row>
    <row r="30" spans="1:20" s="10" customFormat="1" ht="5.0999999999999996" customHeight="1" x14ac:dyDescent="0.2">
      <c r="A30" s="52"/>
      <c r="T30" s="53"/>
    </row>
    <row r="31" spans="1:20" ht="12.75" x14ac:dyDescent="0.2">
      <c r="A31" s="46"/>
      <c r="B31" s="2" t="s">
        <v>86</v>
      </c>
      <c r="T31" s="47"/>
    </row>
    <row r="32" spans="1:20" ht="9.9499999999999993" customHeight="1" x14ac:dyDescent="0.2">
      <c r="A32" s="46"/>
      <c r="T32" s="47"/>
    </row>
    <row r="33" spans="1:20" ht="15" customHeight="1" x14ac:dyDescent="0.2">
      <c r="A33" s="46"/>
      <c r="B33" s="31" t="s">
        <v>91</v>
      </c>
      <c r="D33" s="139" t="s">
        <v>88</v>
      </c>
      <c r="E33" s="139"/>
      <c r="F33" s="139"/>
      <c r="G33" s="139"/>
      <c r="T33" s="47"/>
    </row>
    <row r="34" spans="1:20" x14ac:dyDescent="0.2">
      <c r="A34" s="46"/>
      <c r="T34" s="47"/>
    </row>
    <row r="35" spans="1:20" ht="14.25" customHeight="1" x14ac:dyDescent="0.2">
      <c r="A35" s="46"/>
      <c r="E35" s="136" t="s">
        <v>83</v>
      </c>
      <c r="F35" s="137"/>
      <c r="G35" s="137"/>
      <c r="H35" s="138"/>
      <c r="J35" s="136" t="s">
        <v>78</v>
      </c>
      <c r="K35" s="137"/>
      <c r="L35" s="137"/>
      <c r="M35" s="138"/>
      <c r="O35" s="136" t="s">
        <v>0</v>
      </c>
      <c r="P35" s="137"/>
      <c r="Q35" s="137"/>
      <c r="R35" s="137"/>
      <c r="S35" s="138"/>
      <c r="T35" s="47"/>
    </row>
    <row r="36" spans="1:20" ht="24" x14ac:dyDescent="0.2">
      <c r="A36" s="46"/>
      <c r="E36" s="19" t="s">
        <v>79</v>
      </c>
      <c r="F36" s="20" t="s">
        <v>81</v>
      </c>
      <c r="G36" s="20" t="s">
        <v>80</v>
      </c>
      <c r="H36" s="21" t="s">
        <v>82</v>
      </c>
      <c r="J36" s="19" t="s">
        <v>79</v>
      </c>
      <c r="K36" s="20" t="s">
        <v>81</v>
      </c>
      <c r="L36" s="20" t="s">
        <v>80</v>
      </c>
      <c r="M36" s="21" t="s">
        <v>82</v>
      </c>
      <c r="O36" s="19" t="s">
        <v>79</v>
      </c>
      <c r="P36" s="20" t="s">
        <v>81</v>
      </c>
      <c r="Q36" s="20" t="s">
        <v>80</v>
      </c>
      <c r="R36" s="21" t="s">
        <v>82</v>
      </c>
      <c r="S36" s="27" t="s">
        <v>1</v>
      </c>
      <c r="T36" s="47"/>
    </row>
    <row r="37" spans="1:20" ht="5.0999999999999996" customHeight="1" x14ac:dyDescent="0.2">
      <c r="A37" s="46"/>
      <c r="E37" s="63"/>
      <c r="F37" s="63"/>
      <c r="G37" s="63"/>
      <c r="H37" s="63"/>
      <c r="I37" s="63"/>
      <c r="J37" s="63"/>
      <c r="K37" s="63"/>
      <c r="L37" s="63"/>
      <c r="M37" s="63"/>
      <c r="T37" s="47"/>
    </row>
    <row r="38" spans="1:20" x14ac:dyDescent="0.2">
      <c r="A38" s="46"/>
      <c r="B38" s="67" t="s">
        <v>113</v>
      </c>
      <c r="E38" s="63"/>
      <c r="F38" s="63"/>
      <c r="G38" s="63"/>
      <c r="H38" s="63"/>
      <c r="I38" s="63"/>
      <c r="J38" s="63"/>
      <c r="K38" s="63"/>
      <c r="L38" s="63"/>
      <c r="M38" s="63"/>
      <c r="T38" s="47"/>
    </row>
    <row r="39" spans="1:20" ht="5.0999999999999996" customHeight="1" x14ac:dyDescent="0.2">
      <c r="A39" s="46"/>
      <c r="E39" s="63"/>
      <c r="F39" s="63"/>
      <c r="G39" s="63"/>
      <c r="H39" s="63"/>
      <c r="I39" s="63"/>
      <c r="J39" s="63"/>
      <c r="K39" s="63"/>
      <c r="L39" s="63"/>
      <c r="M39" s="63"/>
      <c r="T39" s="47"/>
    </row>
    <row r="40" spans="1:20" ht="15" customHeight="1" x14ac:dyDescent="0.2">
      <c r="A40" s="46"/>
      <c r="B40" s="22" t="s">
        <v>146</v>
      </c>
      <c r="C40" s="22"/>
      <c r="E40" s="116"/>
      <c r="F40" s="116"/>
      <c r="G40" s="117"/>
      <c r="H40" s="117"/>
      <c r="I40" s="76"/>
      <c r="J40" s="116"/>
      <c r="K40" s="116"/>
      <c r="L40" s="117"/>
      <c r="M40" s="117"/>
      <c r="N40" s="76"/>
      <c r="O40" s="116">
        <f t="shared" ref="O40:P40" si="0">J40-E40</f>
        <v>0</v>
      </c>
      <c r="P40" s="116">
        <f t="shared" si="0"/>
        <v>0</v>
      </c>
      <c r="Q40" s="117">
        <f>L40-G40</f>
        <v>0</v>
      </c>
      <c r="R40" s="117">
        <f t="shared" ref="R40" si="1">M40-H40</f>
        <v>0</v>
      </c>
      <c r="S40" s="118" t="str">
        <f>IFERROR(R40/H40,"-")</f>
        <v>-</v>
      </c>
      <c r="T40" s="47"/>
    </row>
    <row r="41" spans="1:20" ht="15" customHeight="1" x14ac:dyDescent="0.2">
      <c r="A41" s="46"/>
      <c r="B41" s="147" t="s">
        <v>158</v>
      </c>
      <c r="C41" s="148"/>
      <c r="D41" s="149"/>
      <c r="E41" s="150"/>
      <c r="F41" s="150"/>
      <c r="G41" s="151">
        <f>SUM(G40:G40)</f>
        <v>0</v>
      </c>
      <c r="H41" s="151">
        <f>SUM(H40:H40)</f>
        <v>0</v>
      </c>
      <c r="I41" s="152"/>
      <c r="J41" s="150"/>
      <c r="K41" s="150"/>
      <c r="L41" s="151">
        <f>SUM(L40:L40)</f>
        <v>0</v>
      </c>
      <c r="M41" s="151">
        <f>SUM(M40:M40)</f>
        <v>0</v>
      </c>
      <c r="N41" s="152"/>
      <c r="O41" s="150"/>
      <c r="P41" s="150"/>
      <c r="Q41" s="151">
        <f>SUM(Q40:Q40)</f>
        <v>0</v>
      </c>
      <c r="R41" s="151">
        <f>SUM(R40:R40)</f>
        <v>0</v>
      </c>
      <c r="S41" s="153" t="str">
        <f>IFERROR(R41/H41,"-")</f>
        <v>-</v>
      </c>
      <c r="T41" s="47"/>
    </row>
    <row r="42" spans="1:20" ht="5.0999999999999996" customHeight="1" x14ac:dyDescent="0.2">
      <c r="A42" s="46"/>
      <c r="S42" s="41"/>
      <c r="T42" s="47"/>
    </row>
    <row r="43" spans="1:20" ht="15" customHeight="1" x14ac:dyDescent="0.2">
      <c r="A43" s="46"/>
      <c r="B43" s="22" t="s">
        <v>146</v>
      </c>
      <c r="C43" s="22"/>
      <c r="E43" s="116"/>
      <c r="F43" s="116"/>
      <c r="G43" s="117">
        <f>E43*F43</f>
        <v>0</v>
      </c>
      <c r="H43" s="117">
        <f>G43-G43*40%</f>
        <v>0</v>
      </c>
      <c r="I43" s="76"/>
      <c r="J43" s="116"/>
      <c r="K43" s="116"/>
      <c r="L43" s="117">
        <f>J43*K43</f>
        <v>0</v>
      </c>
      <c r="M43" s="117">
        <f>(L43-L43*30%)</f>
        <v>0</v>
      </c>
      <c r="N43" s="76"/>
      <c r="O43" s="116">
        <f t="shared" ref="O43" si="2">J43-E43</f>
        <v>0</v>
      </c>
      <c r="P43" s="116">
        <f t="shared" ref="P43" si="3">K43-F43</f>
        <v>0</v>
      </c>
      <c r="Q43" s="117">
        <f>L43-G43</f>
        <v>0</v>
      </c>
      <c r="R43" s="117">
        <f t="shared" ref="R43:R44" si="4">M43-H43</f>
        <v>0</v>
      </c>
      <c r="S43" s="118" t="str">
        <f>IFERROR(R43/H43,"-")</f>
        <v>-</v>
      </c>
      <c r="T43" s="47"/>
    </row>
    <row r="44" spans="1:20" ht="15" customHeight="1" x14ac:dyDescent="0.2">
      <c r="A44" s="46"/>
      <c r="B44" s="22" t="s">
        <v>157</v>
      </c>
      <c r="C44" s="22"/>
      <c r="E44" s="116"/>
      <c r="F44" s="116"/>
      <c r="G44" s="117"/>
      <c r="H44" s="117"/>
      <c r="I44" s="76"/>
      <c r="J44" s="116"/>
      <c r="K44" s="116"/>
      <c r="L44" s="117">
        <f>J44*K44</f>
        <v>0</v>
      </c>
      <c r="M44" s="117">
        <f>(L44-L44*30%)</f>
        <v>0</v>
      </c>
      <c r="N44" s="76"/>
      <c r="O44" s="116"/>
      <c r="P44" s="116"/>
      <c r="Q44" s="117">
        <f>O44*P44</f>
        <v>0</v>
      </c>
      <c r="R44" s="117">
        <f t="shared" si="4"/>
        <v>0</v>
      </c>
      <c r="S44" s="118" t="str">
        <f>IFERROR(R44/H44,"-")</f>
        <v>-</v>
      </c>
      <c r="T44" s="47"/>
    </row>
    <row r="45" spans="1:20" ht="15" customHeight="1" x14ac:dyDescent="0.2">
      <c r="A45" s="46"/>
      <c r="B45" s="147" t="s">
        <v>159</v>
      </c>
      <c r="C45" s="148"/>
      <c r="D45" s="149"/>
      <c r="E45" s="150"/>
      <c r="F45" s="150"/>
      <c r="G45" s="151">
        <f>SUM(G43:G43)</f>
        <v>0</v>
      </c>
      <c r="H45" s="151">
        <f>SUM(H43:H43)</f>
        <v>0</v>
      </c>
      <c r="I45" s="152"/>
      <c r="J45" s="150"/>
      <c r="K45" s="150"/>
      <c r="L45" s="151">
        <f>SUM(L43:L43)</f>
        <v>0</v>
      </c>
      <c r="M45" s="151">
        <f>SUM(M43:M44)</f>
        <v>0</v>
      </c>
      <c r="N45" s="152"/>
      <c r="O45" s="150"/>
      <c r="P45" s="150"/>
      <c r="Q45" s="151">
        <f>SUM(Q43:Q43)</f>
        <v>0</v>
      </c>
      <c r="R45" s="151">
        <f>SUM(R43:R44)</f>
        <v>0</v>
      </c>
      <c r="S45" s="153" t="str">
        <f>IFERROR(R45/H45,"-")</f>
        <v>-</v>
      </c>
      <c r="T45" s="47"/>
    </row>
    <row r="46" spans="1:20" ht="5.0999999999999996" customHeight="1" x14ac:dyDescent="0.2">
      <c r="A46" s="46"/>
      <c r="S46" s="41"/>
      <c r="T46" s="47"/>
    </row>
    <row r="47" spans="1:20" ht="15" customHeight="1" x14ac:dyDescent="0.2">
      <c r="A47" s="46"/>
      <c r="B47" s="22" t="s">
        <v>160</v>
      </c>
      <c r="C47" s="22"/>
      <c r="E47" s="116"/>
      <c r="F47" s="116"/>
      <c r="G47" s="117">
        <f>E47*F47</f>
        <v>0</v>
      </c>
      <c r="H47" s="117">
        <f>G47-G47*0%</f>
        <v>0</v>
      </c>
      <c r="I47" s="76"/>
      <c r="J47" s="116"/>
      <c r="K47" s="116"/>
      <c r="L47" s="117">
        <f>J47*K47</f>
        <v>0</v>
      </c>
      <c r="M47" s="117">
        <f>L47-L47*100%</f>
        <v>0</v>
      </c>
      <c r="N47" s="76"/>
      <c r="O47" s="116">
        <f t="shared" ref="O47" si="5">J47-E47</f>
        <v>0</v>
      </c>
      <c r="P47" s="116">
        <f t="shared" ref="P47" si="6">K47-F47</f>
        <v>0</v>
      </c>
      <c r="Q47" s="117">
        <f>L47-G47</f>
        <v>0</v>
      </c>
      <c r="R47" s="117">
        <f t="shared" ref="R47" si="7">M47-H47</f>
        <v>0</v>
      </c>
      <c r="S47" s="118" t="str">
        <f>IFERROR(R47/H47,"-")</f>
        <v>-</v>
      </c>
      <c r="T47" s="47"/>
    </row>
    <row r="48" spans="1:20" ht="15" customHeight="1" x14ac:dyDescent="0.2">
      <c r="A48" s="46"/>
      <c r="B48" s="147" t="s">
        <v>160</v>
      </c>
      <c r="C48" s="148"/>
      <c r="D48" s="149"/>
      <c r="E48" s="150"/>
      <c r="F48" s="150"/>
      <c r="G48" s="151">
        <f>SUM(G47:G47)</f>
        <v>0</v>
      </c>
      <c r="H48" s="151">
        <f>SUM(H47:H47)</f>
        <v>0</v>
      </c>
      <c r="I48" s="152"/>
      <c r="J48" s="150"/>
      <c r="K48" s="150"/>
      <c r="L48" s="151">
        <f>SUM(L47:L47)</f>
        <v>0</v>
      </c>
      <c r="M48" s="151">
        <f>SUM(M47:M47)</f>
        <v>0</v>
      </c>
      <c r="N48" s="152"/>
      <c r="O48" s="150"/>
      <c r="P48" s="150"/>
      <c r="Q48" s="151">
        <f>SUM(Q47:Q47)</f>
        <v>0</v>
      </c>
      <c r="R48" s="151">
        <f>SUM(R47:R47)</f>
        <v>0</v>
      </c>
      <c r="S48" s="153" t="str">
        <f>IFERROR(R48/H48,"-")</f>
        <v>-</v>
      </c>
      <c r="T48" s="47"/>
    </row>
    <row r="49" spans="1:21" ht="5.0999999999999996" customHeight="1" x14ac:dyDescent="0.2">
      <c r="A49" s="46"/>
      <c r="S49" s="41"/>
      <c r="T49" s="47"/>
    </row>
    <row r="50" spans="1:21" ht="15" customHeight="1" x14ac:dyDescent="0.2">
      <c r="A50" s="46"/>
      <c r="B50" s="22" t="s">
        <v>149</v>
      </c>
      <c r="C50" s="22"/>
      <c r="E50" s="116"/>
      <c r="F50" s="116"/>
      <c r="G50" s="117">
        <f>E50*F50</f>
        <v>0</v>
      </c>
      <c r="H50" s="117"/>
      <c r="I50" s="76"/>
      <c r="J50" s="116"/>
      <c r="K50" s="116"/>
      <c r="L50" s="117">
        <f>J50*K50</f>
        <v>0</v>
      </c>
      <c r="M50" s="117">
        <f>(L50-L50*100%)*95%</f>
        <v>0</v>
      </c>
      <c r="N50" s="76"/>
      <c r="O50" s="116">
        <f t="shared" ref="O50" si="8">J50-E50</f>
        <v>0</v>
      </c>
      <c r="P50" s="116">
        <f t="shared" ref="P50" si="9">K50-F50</f>
        <v>0</v>
      </c>
      <c r="Q50" s="117">
        <f>L50-G50</f>
        <v>0</v>
      </c>
      <c r="R50" s="117">
        <f t="shared" ref="R50" si="10">M50-H50</f>
        <v>0</v>
      </c>
      <c r="S50" s="118" t="str">
        <f>IFERROR(R50/H50,"-")</f>
        <v>-</v>
      </c>
      <c r="T50" s="47"/>
    </row>
    <row r="51" spans="1:21" ht="15" customHeight="1" x14ac:dyDescent="0.2">
      <c r="A51" s="46"/>
      <c r="B51" s="147" t="s">
        <v>156</v>
      </c>
      <c r="C51" s="148"/>
      <c r="D51" s="149"/>
      <c r="E51" s="150"/>
      <c r="F51" s="150"/>
      <c r="G51" s="151">
        <f>SUM(G50:G50)</f>
        <v>0</v>
      </c>
      <c r="H51" s="151">
        <f>SUM(H50:H50)</f>
        <v>0</v>
      </c>
      <c r="I51" s="152"/>
      <c r="J51" s="150"/>
      <c r="K51" s="150"/>
      <c r="L51" s="151">
        <f>SUM(L50:L50)</f>
        <v>0</v>
      </c>
      <c r="M51" s="151">
        <f>SUM(M50:M50)</f>
        <v>0</v>
      </c>
      <c r="N51" s="152"/>
      <c r="O51" s="150"/>
      <c r="P51" s="150"/>
      <c r="Q51" s="151">
        <f>SUM(Q50:Q50)</f>
        <v>0</v>
      </c>
      <c r="R51" s="151">
        <f>SUM(R50:R50)</f>
        <v>0</v>
      </c>
      <c r="S51" s="153" t="str">
        <f>IFERROR(R51/H51,"-")</f>
        <v>-</v>
      </c>
      <c r="T51" s="47"/>
    </row>
    <row r="52" spans="1:21" ht="5.0999999999999996" customHeight="1" x14ac:dyDescent="0.2">
      <c r="A52" s="46"/>
      <c r="S52" s="41"/>
      <c r="T52" s="47"/>
    </row>
    <row r="53" spans="1:21" ht="15" customHeight="1" x14ac:dyDescent="0.2">
      <c r="A53" s="46"/>
      <c r="B53" s="22" t="s">
        <v>149</v>
      </c>
      <c r="C53" s="22"/>
      <c r="E53" s="116"/>
      <c r="F53" s="116"/>
      <c r="G53" s="117">
        <f>E53*F53</f>
        <v>0</v>
      </c>
      <c r="H53" s="117"/>
      <c r="I53" s="76"/>
      <c r="J53" s="116"/>
      <c r="K53" s="116"/>
      <c r="L53" s="117">
        <f>J53*K53</f>
        <v>0</v>
      </c>
      <c r="M53" s="117"/>
      <c r="N53" s="76"/>
      <c r="O53" s="116">
        <f t="shared" ref="O53" si="11">J53-E53</f>
        <v>0</v>
      </c>
      <c r="P53" s="116">
        <f t="shared" ref="P53" si="12">K53-F53</f>
        <v>0</v>
      </c>
      <c r="Q53" s="117">
        <f>L53-G53</f>
        <v>0</v>
      </c>
      <c r="R53" s="117">
        <f t="shared" ref="R53" si="13">M53-H53</f>
        <v>0</v>
      </c>
      <c r="S53" s="118" t="str">
        <f>IFERROR(R53/H53,"-")</f>
        <v>-</v>
      </c>
      <c r="T53" s="47"/>
    </row>
    <row r="54" spans="1:21" ht="15.75" customHeight="1" x14ac:dyDescent="0.2">
      <c r="A54" s="46"/>
      <c r="B54" s="147" t="s">
        <v>148</v>
      </c>
      <c r="C54" s="148"/>
      <c r="D54" s="149"/>
      <c r="E54" s="150"/>
      <c r="F54" s="150"/>
      <c r="G54" s="151">
        <f>SUM(G53:G53)</f>
        <v>0</v>
      </c>
      <c r="H54" s="151">
        <f>SUM(H53:H53)</f>
        <v>0</v>
      </c>
      <c r="I54" s="152"/>
      <c r="J54" s="150"/>
      <c r="K54" s="150"/>
      <c r="L54" s="151">
        <f>SUM(L53:L53)</f>
        <v>0</v>
      </c>
      <c r="M54" s="151">
        <f>SUM(M53:M53)</f>
        <v>0</v>
      </c>
      <c r="N54" s="152"/>
      <c r="O54" s="150"/>
      <c r="P54" s="150"/>
      <c r="Q54" s="151">
        <f>SUM(Q53:Q53)</f>
        <v>0</v>
      </c>
      <c r="R54" s="151">
        <f>SUM(R53:R53)</f>
        <v>0</v>
      </c>
      <c r="S54" s="153" t="str">
        <f>IFERROR(R54/H54,"-")</f>
        <v>-</v>
      </c>
      <c r="T54" s="47"/>
    </row>
    <row r="55" spans="1:21" x14ac:dyDescent="0.2">
      <c r="A55" s="46"/>
      <c r="T55" s="47"/>
    </row>
    <row r="56" spans="1:21" s="13" customFormat="1" x14ac:dyDescent="0.2">
      <c r="A56" s="64" t="s">
        <v>115</v>
      </c>
      <c r="B56" s="60" t="s">
        <v>99</v>
      </c>
      <c r="C56" s="60"/>
      <c r="E56" s="61"/>
      <c r="F56" s="61"/>
      <c r="G56" s="61">
        <f>G41+G45+G48+G51+G54</f>
        <v>0</v>
      </c>
      <c r="H56" s="62">
        <f>H41+H45+H48+H51+H54</f>
        <v>0</v>
      </c>
      <c r="I56" s="34"/>
      <c r="J56" s="61"/>
      <c r="K56" s="61"/>
      <c r="L56" s="61">
        <f>L41+L45+L48+L51+L54</f>
        <v>0</v>
      </c>
      <c r="M56" s="62">
        <f>M41+M45+M48+M51+M54</f>
        <v>0</v>
      </c>
      <c r="N56" s="34"/>
      <c r="O56" s="61"/>
      <c r="P56" s="61"/>
      <c r="Q56" s="61">
        <f>Q41+Q45+Q51+Q54</f>
        <v>0</v>
      </c>
      <c r="R56" s="62">
        <f>R41+R45+R48+R51+R54</f>
        <v>0</v>
      </c>
      <c r="S56" s="95" t="str">
        <f>IFERROR(R56/H56,"-")</f>
        <v>-</v>
      </c>
      <c r="T56" s="55"/>
    </row>
    <row r="57" spans="1:21" ht="2.25" customHeight="1" x14ac:dyDescent="0.2">
      <c r="A57" s="65"/>
      <c r="M57" s="76"/>
      <c r="S57" s="41"/>
    </row>
    <row r="58" spans="1:21" s="13" customFormat="1" x14ac:dyDescent="0.2">
      <c r="A58" s="64" t="s">
        <v>115</v>
      </c>
      <c r="B58" s="57" t="s">
        <v>100</v>
      </c>
      <c r="C58" s="57"/>
      <c r="E58" s="58"/>
      <c r="F58" s="58"/>
      <c r="G58" s="58">
        <f>G56*12</f>
        <v>0</v>
      </c>
      <c r="H58" s="59">
        <f>H56*12</f>
        <v>0</v>
      </c>
      <c r="I58" s="34"/>
      <c r="J58" s="58"/>
      <c r="K58" s="58"/>
      <c r="L58" s="58">
        <f>L56*6</f>
        <v>0</v>
      </c>
      <c r="M58" s="59">
        <f>M56*8</f>
        <v>0</v>
      </c>
      <c r="N58" s="34"/>
      <c r="O58" s="58"/>
      <c r="P58" s="58"/>
      <c r="Q58" s="58">
        <f>Q56*1</f>
        <v>0</v>
      </c>
      <c r="R58" s="59">
        <f>R56*1</f>
        <v>0</v>
      </c>
      <c r="S58" s="96" t="str">
        <f>IFERROR(R58/H58,"-")</f>
        <v>-</v>
      </c>
      <c r="T58" s="55"/>
    </row>
    <row r="59" spans="1:21" s="29" customFormat="1" x14ac:dyDescent="0.2">
      <c r="A59" s="64"/>
      <c r="B59" s="35" t="s">
        <v>101</v>
      </c>
      <c r="E59" s="36"/>
      <c r="F59" s="36"/>
      <c r="G59" s="36"/>
      <c r="H59" s="37">
        <f>IFERROR(H56/G56-1,0)</f>
        <v>0</v>
      </c>
      <c r="I59" s="36"/>
      <c r="J59" s="36"/>
      <c r="K59" s="36"/>
      <c r="L59" s="36"/>
      <c r="M59" s="126"/>
      <c r="N59" s="36"/>
      <c r="O59" s="36"/>
      <c r="P59" s="36"/>
      <c r="Q59" s="36"/>
      <c r="R59" s="38"/>
      <c r="S59" s="36"/>
      <c r="T59" s="56"/>
    </row>
    <row r="60" spans="1:21" x14ac:dyDescent="0.2">
      <c r="A60" s="65"/>
      <c r="T60" s="56"/>
      <c r="U60" s="29"/>
    </row>
    <row r="61" spans="1:21" x14ac:dyDescent="0.2">
      <c r="A61" s="66"/>
      <c r="B61" s="67" t="s">
        <v>147</v>
      </c>
      <c r="E61" s="63"/>
      <c r="F61" s="63"/>
      <c r="G61" s="63"/>
      <c r="H61" s="63"/>
      <c r="I61" s="63"/>
      <c r="J61" s="63"/>
      <c r="K61" s="63"/>
      <c r="L61" s="63"/>
      <c r="M61" s="63"/>
      <c r="T61" s="47"/>
    </row>
    <row r="62" spans="1:21" ht="5.0999999999999996" customHeight="1" x14ac:dyDescent="0.2">
      <c r="A62" s="66"/>
      <c r="E62" s="63"/>
      <c r="F62" s="63"/>
      <c r="G62" s="63"/>
      <c r="H62" s="63"/>
      <c r="I62" s="63"/>
      <c r="J62" s="63"/>
      <c r="K62" s="63"/>
      <c r="L62" s="63"/>
      <c r="M62" s="63"/>
      <c r="T62" s="47"/>
    </row>
    <row r="63" spans="1:21" ht="15" customHeight="1" x14ac:dyDescent="0.2">
      <c r="A63" s="66"/>
      <c r="B63" s="119" t="s">
        <v>161</v>
      </c>
      <c r="C63" s="24"/>
      <c r="E63" s="25"/>
      <c r="F63" s="25"/>
      <c r="G63" s="25">
        <f>E63*F63</f>
        <v>0</v>
      </c>
      <c r="H63" s="26"/>
      <c r="I63" s="34"/>
      <c r="J63" s="25"/>
      <c r="K63" s="25"/>
      <c r="L63" s="25">
        <f>J63*K63</f>
        <v>0</v>
      </c>
      <c r="M63" s="26"/>
      <c r="N63" s="34"/>
      <c r="O63" s="25">
        <f>J63-E63</f>
        <v>0</v>
      </c>
      <c r="P63" s="25">
        <f>K63-F63</f>
        <v>0</v>
      </c>
      <c r="Q63" s="25">
        <f>L63-G63</f>
        <v>0</v>
      </c>
      <c r="R63" s="26">
        <f>M63-H63</f>
        <v>0</v>
      </c>
      <c r="S63" s="94" t="str">
        <f>IFERROR(R63/H63,"-")</f>
        <v>-</v>
      </c>
      <c r="T63" s="47"/>
    </row>
    <row r="64" spans="1:21" ht="5.0999999999999996" customHeight="1" x14ac:dyDescent="0.2">
      <c r="A64" s="66"/>
      <c r="B64" s="13"/>
      <c r="S64" s="41"/>
      <c r="T64" s="47"/>
    </row>
    <row r="65" spans="1:21" ht="15" customHeight="1" x14ac:dyDescent="0.2">
      <c r="A65" s="66"/>
      <c r="B65" s="119" t="s">
        <v>159</v>
      </c>
      <c r="C65" s="24"/>
      <c r="E65" s="25"/>
      <c r="F65" s="25"/>
      <c r="G65" s="25">
        <f>E65*F65</f>
        <v>0</v>
      </c>
      <c r="H65" s="26"/>
      <c r="I65" s="34"/>
      <c r="J65" s="25"/>
      <c r="K65" s="25"/>
      <c r="L65" s="25">
        <f>J65*K65</f>
        <v>0</v>
      </c>
      <c r="M65" s="26"/>
      <c r="N65" s="34"/>
      <c r="O65" s="25">
        <f>J65-E65</f>
        <v>0</v>
      </c>
      <c r="P65" s="25">
        <f>K65-F65</f>
        <v>0</v>
      </c>
      <c r="Q65" s="25">
        <f>L65-G65</f>
        <v>0</v>
      </c>
      <c r="R65" s="26">
        <f>M65-H65</f>
        <v>0</v>
      </c>
      <c r="S65" s="94" t="str">
        <f>IFERROR(R65/H65,"-")</f>
        <v>-</v>
      </c>
      <c r="T65" s="47"/>
    </row>
    <row r="66" spans="1:21" ht="5.0999999999999996" customHeight="1" x14ac:dyDescent="0.2">
      <c r="A66" s="66"/>
      <c r="B66" s="13"/>
      <c r="S66" s="41"/>
      <c r="T66" s="47"/>
    </row>
    <row r="67" spans="1:21" ht="15" customHeight="1" x14ac:dyDescent="0.2">
      <c r="A67" s="66"/>
      <c r="B67" s="119" t="s">
        <v>156</v>
      </c>
      <c r="C67" s="24"/>
      <c r="E67" s="25"/>
      <c r="F67" s="25"/>
      <c r="G67" s="25">
        <f>E67*F67</f>
        <v>0</v>
      </c>
      <c r="H67" s="26"/>
      <c r="I67" s="34"/>
      <c r="J67" s="25">
        <v>1</v>
      </c>
      <c r="K67" s="25">
        <v>5300</v>
      </c>
      <c r="L67" s="25">
        <f>J67*K67</f>
        <v>5300</v>
      </c>
      <c r="M67" s="26">
        <f>L67-(L67*0)</f>
        <v>5300</v>
      </c>
      <c r="N67" s="34"/>
      <c r="O67" s="25">
        <f>J67-E67</f>
        <v>1</v>
      </c>
      <c r="P67" s="25">
        <f>K67-F67</f>
        <v>5300</v>
      </c>
      <c r="Q67" s="25">
        <f>L67-G67</f>
        <v>5300</v>
      </c>
      <c r="R67" s="26">
        <f>M67-H67</f>
        <v>5300</v>
      </c>
      <c r="S67" s="94" t="str">
        <f>IFERROR(R67/H67,"-")</f>
        <v>-</v>
      </c>
      <c r="T67" s="47"/>
    </row>
    <row r="68" spans="1:21" ht="5.0999999999999996" customHeight="1" x14ac:dyDescent="0.2">
      <c r="A68" s="46"/>
      <c r="B68" s="13"/>
      <c r="S68" s="41"/>
      <c r="T68" s="47"/>
    </row>
    <row r="69" spans="1:21" ht="15" customHeight="1" x14ac:dyDescent="0.2">
      <c r="A69" s="46"/>
      <c r="B69" s="119" t="s">
        <v>148</v>
      </c>
      <c r="C69" s="24"/>
      <c r="E69" s="25"/>
      <c r="F69" s="25"/>
      <c r="G69" s="25">
        <f>E69*F69</f>
        <v>0</v>
      </c>
      <c r="H69" s="26"/>
      <c r="I69" s="34"/>
      <c r="J69" s="25"/>
      <c r="K69" s="25"/>
      <c r="L69" s="25">
        <f>J69*K69</f>
        <v>0</v>
      </c>
      <c r="M69" s="26">
        <f>(L69)</f>
        <v>0</v>
      </c>
      <c r="N69" s="34"/>
      <c r="O69" s="25"/>
      <c r="P69" s="25"/>
      <c r="Q69" s="25">
        <f>L69-G69</f>
        <v>0</v>
      </c>
      <c r="R69" s="26">
        <f>M69-H69</f>
        <v>0</v>
      </c>
      <c r="S69" s="94" t="str">
        <f>IFERROR(R69/H69,"-")</f>
        <v>-</v>
      </c>
      <c r="T69" s="47"/>
    </row>
    <row r="70" spans="1:21" x14ac:dyDescent="0.2">
      <c r="A70" s="66"/>
      <c r="S70" s="41"/>
      <c r="T70" s="47"/>
    </row>
    <row r="71" spans="1:21" s="13" customFormat="1" x14ac:dyDescent="0.2">
      <c r="A71" s="64" t="s">
        <v>116</v>
      </c>
      <c r="B71" s="57" t="s">
        <v>100</v>
      </c>
      <c r="C71" s="57"/>
      <c r="E71" s="58"/>
      <c r="F71" s="58"/>
      <c r="G71" s="58">
        <f>G63+G65+G67+G69</f>
        <v>0</v>
      </c>
      <c r="H71" s="59">
        <f>H63+H65+H67+H69</f>
        <v>0</v>
      </c>
      <c r="I71" s="34"/>
      <c r="J71" s="58"/>
      <c r="K71" s="58"/>
      <c r="L71" s="58">
        <f>L63+L65+L67+L69</f>
        <v>5300</v>
      </c>
      <c r="M71" s="59">
        <f>M63+M65+M67+M69</f>
        <v>5300</v>
      </c>
      <c r="N71" s="34"/>
      <c r="O71" s="58"/>
      <c r="P71" s="58"/>
      <c r="Q71" s="58">
        <f>Q63+Q65+Q67+Q69</f>
        <v>5300</v>
      </c>
      <c r="R71" s="59">
        <f>R63+R65+R67+R69</f>
        <v>5300</v>
      </c>
      <c r="S71" s="96" t="str">
        <f>IFERROR(R71/H71,"-")</f>
        <v>-</v>
      </c>
      <c r="T71" s="55"/>
    </row>
    <row r="72" spans="1:21" s="29" customFormat="1" x14ac:dyDescent="0.2">
      <c r="A72" s="64"/>
      <c r="B72" s="35" t="s">
        <v>101</v>
      </c>
      <c r="E72" s="36"/>
      <c r="F72" s="36"/>
      <c r="G72" s="36"/>
      <c r="H72" s="37">
        <f>IFERROR(H71/G71-1,0)</f>
        <v>0</v>
      </c>
      <c r="I72" s="36"/>
      <c r="J72" s="36"/>
      <c r="K72" s="36"/>
      <c r="L72" s="36"/>
      <c r="M72" s="37">
        <v>0</v>
      </c>
      <c r="N72" s="36"/>
      <c r="O72" s="36"/>
      <c r="P72" s="36"/>
      <c r="Q72" s="36"/>
      <c r="R72" s="38"/>
      <c r="S72" s="97"/>
      <c r="T72" s="56"/>
    </row>
    <row r="73" spans="1:21" x14ac:dyDescent="0.2">
      <c r="S73" s="41"/>
      <c r="T73" s="56"/>
      <c r="U73" s="29"/>
    </row>
    <row r="74" spans="1:21" s="13" customFormat="1" x14ac:dyDescent="0.2">
      <c r="A74" s="54"/>
      <c r="B74" s="57" t="s">
        <v>114</v>
      </c>
      <c r="C74" s="57"/>
      <c r="E74" s="58"/>
      <c r="F74" s="58"/>
      <c r="G74" s="58">
        <f>G58+G71</f>
        <v>0</v>
      </c>
      <c r="H74" s="59">
        <f>H58+H71</f>
        <v>0</v>
      </c>
      <c r="I74" s="34"/>
      <c r="J74" s="58"/>
      <c r="K74" s="58"/>
      <c r="L74" s="58">
        <f>L58+L71</f>
        <v>5300</v>
      </c>
      <c r="M74" s="59">
        <f>M58+M71</f>
        <v>5300</v>
      </c>
      <c r="N74" s="34"/>
      <c r="O74" s="58"/>
      <c r="P74" s="58"/>
      <c r="Q74" s="58">
        <f>Q58+Q71</f>
        <v>5300</v>
      </c>
      <c r="R74" s="59">
        <f>R58+R71</f>
        <v>5300</v>
      </c>
      <c r="S74" s="96" t="str">
        <f>IFERROR(R74/H74,"-")</f>
        <v>-</v>
      </c>
      <c r="T74" s="55"/>
    </row>
    <row r="75" spans="1:21" ht="9.9499999999999993" customHeight="1" x14ac:dyDescent="0.2">
      <c r="T75" s="56"/>
      <c r="U75" s="29"/>
    </row>
    <row r="76" spans="1:21" ht="5.0999999999999996" customHeight="1" x14ac:dyDescent="0.2">
      <c r="A76" s="46"/>
      <c r="T76" s="47"/>
    </row>
    <row r="77" spans="1:21" s="18" customFormat="1" ht="15" customHeight="1" x14ac:dyDescent="0.25">
      <c r="B77" s="120" t="s">
        <v>150</v>
      </c>
      <c r="F77" s="70" t="s">
        <v>3</v>
      </c>
      <c r="G77" s="121"/>
      <c r="H77" s="70" t="s">
        <v>4</v>
      </c>
      <c r="I77" s="131"/>
      <c r="J77" s="131"/>
      <c r="M77" s="120" t="s">
        <v>151</v>
      </c>
      <c r="Q77" s="121"/>
      <c r="T77" s="68"/>
      <c r="U77" s="69"/>
    </row>
    <row r="78" spans="1:21" ht="5.0999999999999996" customHeight="1" x14ac:dyDescent="0.2">
      <c r="A78" s="46"/>
      <c r="T78" s="47"/>
    </row>
    <row r="79" spans="1:21" s="10" customFormat="1" ht="3" customHeight="1" x14ac:dyDescent="0.2">
      <c r="A79" s="52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53"/>
    </row>
    <row r="80" spans="1:21" s="10" customFormat="1" ht="5.0999999999999996" customHeight="1" x14ac:dyDescent="0.2">
      <c r="A80" s="52"/>
      <c r="T80" s="53"/>
    </row>
    <row r="81" spans="1:20" ht="12.75" x14ac:dyDescent="0.2">
      <c r="A81" s="46"/>
      <c r="B81" s="30" t="s">
        <v>98</v>
      </c>
      <c r="T81" s="47"/>
    </row>
    <row r="82" spans="1:20" ht="15" customHeight="1" x14ac:dyDescent="0.2">
      <c r="A82" s="46"/>
      <c r="B82" s="128" t="s">
        <v>164</v>
      </c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47"/>
    </row>
    <row r="83" spans="1:20" ht="15" customHeight="1" x14ac:dyDescent="0.2">
      <c r="A83" s="46"/>
      <c r="B83" s="23" t="s">
        <v>167</v>
      </c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47"/>
    </row>
    <row r="84" spans="1:20" ht="15" customHeight="1" x14ac:dyDescent="0.2">
      <c r="A84" s="46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47"/>
    </row>
    <row r="85" spans="1:20" ht="5.0999999999999996" customHeight="1" x14ac:dyDescent="0.2">
      <c r="A85" s="46"/>
      <c r="T85" s="47"/>
    </row>
    <row r="86" spans="1:20" s="10" customFormat="1" ht="3" customHeight="1" x14ac:dyDescent="0.2">
      <c r="A86" s="52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53"/>
    </row>
    <row r="87" spans="1:20" s="10" customFormat="1" ht="5.0999999999999996" customHeight="1" x14ac:dyDescent="0.2">
      <c r="A87" s="52"/>
      <c r="T87" s="53"/>
    </row>
    <row r="88" spans="1:20" ht="15" customHeight="1" x14ac:dyDescent="0.2">
      <c r="A88" s="46"/>
      <c r="B88" s="2" t="s">
        <v>96</v>
      </c>
      <c r="T88" s="47"/>
    </row>
    <row r="89" spans="1:20" ht="9.9499999999999993" customHeight="1" x14ac:dyDescent="0.2">
      <c r="A89" s="46"/>
      <c r="T89" s="47"/>
    </row>
    <row r="90" spans="1:20" s="18" customFormat="1" ht="15" customHeight="1" x14ac:dyDescent="0.25">
      <c r="A90" s="50"/>
      <c r="B90" s="31" t="s">
        <v>2</v>
      </c>
      <c r="F90" s="39" t="s">
        <v>3</v>
      </c>
      <c r="G90" s="70"/>
      <c r="I90" s="39" t="s">
        <v>4</v>
      </c>
      <c r="J90" s="130"/>
      <c r="K90" s="130"/>
      <c r="T90" s="51"/>
    </row>
    <row r="91" spans="1:20" ht="9.9499999999999993" customHeight="1" x14ac:dyDescent="0.2">
      <c r="A91" s="46"/>
      <c r="F91" s="40"/>
      <c r="G91" s="41"/>
      <c r="I91" s="40"/>
      <c r="J91" s="40"/>
      <c r="K91" s="41"/>
      <c r="T91" s="47"/>
    </row>
    <row r="92" spans="1:20" s="18" customFormat="1" ht="15" customHeight="1" x14ac:dyDescent="0.25">
      <c r="A92" s="50"/>
      <c r="B92" s="31" t="s">
        <v>5</v>
      </c>
      <c r="F92" s="39" t="s">
        <v>3</v>
      </c>
      <c r="G92" s="70"/>
      <c r="I92" s="39" t="s">
        <v>4</v>
      </c>
      <c r="J92" s="130"/>
      <c r="K92" s="130"/>
      <c r="T92" s="51"/>
    </row>
    <row r="93" spans="1:20" ht="9.9499999999999993" customHeight="1" x14ac:dyDescent="0.2">
      <c r="A93" s="46"/>
      <c r="F93" s="40"/>
      <c r="G93" s="41"/>
      <c r="I93" s="40"/>
      <c r="J93" s="40"/>
      <c r="K93" s="41"/>
      <c r="T93" s="47"/>
    </row>
    <row r="94" spans="1:20" s="18" customFormat="1" ht="15" customHeight="1" x14ac:dyDescent="0.25">
      <c r="A94" s="50"/>
      <c r="B94" s="31" t="s">
        <v>6</v>
      </c>
      <c r="F94" s="39" t="s">
        <v>3</v>
      </c>
      <c r="G94" s="70"/>
      <c r="I94" s="39" t="s">
        <v>4</v>
      </c>
      <c r="J94" s="130"/>
      <c r="K94" s="130"/>
      <c r="M94" s="42" t="s">
        <v>97</v>
      </c>
      <c r="N94" s="129"/>
      <c r="O94" s="129"/>
      <c r="P94" s="129"/>
      <c r="T94" s="51"/>
    </row>
    <row r="95" spans="1:20" ht="9.9499999999999993" customHeight="1" x14ac:dyDescent="0.2">
      <c r="A95" s="46"/>
      <c r="F95" s="40"/>
      <c r="G95" s="41"/>
      <c r="I95" s="40"/>
      <c r="J95" s="40"/>
      <c r="K95" s="41"/>
      <c r="T95" s="47"/>
    </row>
    <row r="96" spans="1:20" s="18" customFormat="1" ht="15" customHeight="1" x14ac:dyDescent="0.25">
      <c r="A96" s="50"/>
      <c r="B96" s="31" t="s">
        <v>140</v>
      </c>
      <c r="F96" s="39" t="s">
        <v>3</v>
      </c>
      <c r="G96" s="70"/>
      <c r="I96" s="39" t="s">
        <v>4</v>
      </c>
      <c r="J96" s="130"/>
      <c r="K96" s="130"/>
      <c r="M96" s="42" t="s">
        <v>141</v>
      </c>
      <c r="N96" s="129"/>
      <c r="O96" s="129"/>
      <c r="P96" s="129"/>
      <c r="T96" s="51"/>
    </row>
    <row r="97" spans="1:20" ht="5.0999999999999996" customHeight="1" x14ac:dyDescent="0.2">
      <c r="A97" s="46"/>
      <c r="T97" s="47"/>
    </row>
    <row r="98" spans="1:20" s="10" customFormat="1" ht="3" customHeight="1" x14ac:dyDescent="0.2">
      <c r="A98" s="52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53"/>
    </row>
  </sheetData>
  <mergeCells count="21">
    <mergeCell ref="D8:G8"/>
    <mergeCell ref="R8:S8"/>
    <mergeCell ref="D22:I22"/>
    <mergeCell ref="O22:S22"/>
    <mergeCell ref="G24:I24"/>
    <mergeCell ref="P11:S11"/>
    <mergeCell ref="D27:G27"/>
    <mergeCell ref="R27:T27"/>
    <mergeCell ref="N27:P27"/>
    <mergeCell ref="J27:L27"/>
    <mergeCell ref="E35:H35"/>
    <mergeCell ref="J35:M35"/>
    <mergeCell ref="O35:S35"/>
    <mergeCell ref="D33:G33"/>
    <mergeCell ref="N96:P96"/>
    <mergeCell ref="J92:K92"/>
    <mergeCell ref="J94:K94"/>
    <mergeCell ref="N94:P94"/>
    <mergeCell ref="I77:J77"/>
    <mergeCell ref="J90:K90"/>
    <mergeCell ref="J96:K96"/>
  </mergeCells>
  <dataValidations disablePrompts="1" count="5">
    <dataValidation type="list" allowBlank="1" showInputMessage="1" showErrorMessage="1" sqref="D27:G27" xr:uid="{00000000-0002-0000-0000-000000000000}">
      <formula1>Vigencia</formula1>
    </dataValidation>
    <dataValidation type="list" allowBlank="1" showInputMessage="1" showErrorMessage="1" sqref="D8:G8" xr:uid="{00000000-0002-0000-0000-000001000000}">
      <formula1>País</formula1>
    </dataValidation>
    <dataValidation type="list" allowBlank="1" showInputMessage="1" showErrorMessage="1" sqref="D33:G33" xr:uid="{00000000-0002-0000-0000-000002000000}">
      <formula1>Moneda</formula1>
    </dataValidation>
    <dataValidation type="list" allowBlank="1" showInputMessage="1" showErrorMessage="1" sqref="G77 I77:J77" xr:uid="{00000000-0002-0000-0000-000003000000}">
      <formula1>"x"</formula1>
    </dataValidation>
    <dataValidation type="list" allowBlank="1" showInputMessage="1" showErrorMessage="1" sqref="Q77" xr:uid="{00000000-0002-0000-0000-000004000000}">
      <formula1>Cuotas</formula1>
    </dataValidation>
  </dataValidations>
  <pageMargins left="0.31496062992125984" right="0.23622047244094491" top="0.39370078740157483" bottom="0.39370078740157483" header="0.31496062992125984" footer="0.31496062992125984"/>
  <pageSetup scale="85" orientation="portrait" r:id="rId1"/>
  <colBreaks count="1" manualBreakCount="1">
    <brk id="20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11</xdr:col>
                    <xdr:colOff>276225</xdr:colOff>
                    <xdr:row>12</xdr:row>
                    <xdr:rowOff>142875</xdr:rowOff>
                  </from>
                  <to>
                    <xdr:col>12</xdr:col>
                    <xdr:colOff>19050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11</xdr:col>
                    <xdr:colOff>276225</xdr:colOff>
                    <xdr:row>13</xdr:row>
                    <xdr:rowOff>104775</xdr:rowOff>
                  </from>
                  <to>
                    <xdr:col>12</xdr:col>
                    <xdr:colOff>19050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Option Button 4">
              <controlPr defaultSize="0" autoFill="0" autoLine="0" autoPict="0">
                <anchor moveWithCells="1">
                  <from>
                    <xdr:col>11</xdr:col>
                    <xdr:colOff>276225</xdr:colOff>
                    <xdr:row>14</xdr:row>
                    <xdr:rowOff>104775</xdr:rowOff>
                  </from>
                  <to>
                    <xdr:col>12</xdr:col>
                    <xdr:colOff>19050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66675</xdr:rowOff>
                  </from>
                  <to>
                    <xdr:col>10</xdr:col>
                    <xdr:colOff>495300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1</xdr:col>
                    <xdr:colOff>304800</xdr:colOff>
                    <xdr:row>11</xdr:row>
                    <xdr:rowOff>66675</xdr:rowOff>
                  </from>
                  <to>
                    <xdr:col>2</xdr:col>
                    <xdr:colOff>152400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6</xdr:col>
                    <xdr:colOff>133350</xdr:colOff>
                    <xdr:row>88</xdr:row>
                    <xdr:rowOff>114300</xdr:rowOff>
                  </from>
                  <to>
                    <xdr:col>6</xdr:col>
                    <xdr:colOff>438150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6</xdr:col>
                    <xdr:colOff>133350</xdr:colOff>
                    <xdr:row>90</xdr:row>
                    <xdr:rowOff>114300</xdr:rowOff>
                  </from>
                  <to>
                    <xdr:col>6</xdr:col>
                    <xdr:colOff>438150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6</xdr:col>
                    <xdr:colOff>133350</xdr:colOff>
                    <xdr:row>92</xdr:row>
                    <xdr:rowOff>114300</xdr:rowOff>
                  </from>
                  <to>
                    <xdr:col>6</xdr:col>
                    <xdr:colOff>438150</xdr:colOff>
                    <xdr:row>94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9</xdr:col>
                    <xdr:colOff>200025</xdr:colOff>
                    <xdr:row>88</xdr:row>
                    <xdr:rowOff>114300</xdr:rowOff>
                  </from>
                  <to>
                    <xdr:col>10</xdr:col>
                    <xdr:colOff>161925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9</xdr:col>
                    <xdr:colOff>200025</xdr:colOff>
                    <xdr:row>90</xdr:row>
                    <xdr:rowOff>114300</xdr:rowOff>
                  </from>
                  <to>
                    <xdr:col>10</xdr:col>
                    <xdr:colOff>161925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9</xdr:col>
                    <xdr:colOff>200025</xdr:colOff>
                    <xdr:row>92</xdr:row>
                    <xdr:rowOff>114300</xdr:rowOff>
                  </from>
                  <to>
                    <xdr:col>10</xdr:col>
                    <xdr:colOff>161925</xdr:colOff>
                    <xdr:row>94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6</xdr:col>
                    <xdr:colOff>133350</xdr:colOff>
                    <xdr:row>94</xdr:row>
                    <xdr:rowOff>114300</xdr:rowOff>
                  </from>
                  <to>
                    <xdr:col>6</xdr:col>
                    <xdr:colOff>438150</xdr:colOff>
                    <xdr:row>96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9</xdr:col>
                    <xdr:colOff>200025</xdr:colOff>
                    <xdr:row>94</xdr:row>
                    <xdr:rowOff>114300</xdr:rowOff>
                  </from>
                  <to>
                    <xdr:col>10</xdr:col>
                    <xdr:colOff>161925</xdr:colOff>
                    <xdr:row>96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14</xdr:col>
                    <xdr:colOff>114300</xdr:colOff>
                    <xdr:row>22</xdr:row>
                    <xdr:rowOff>76200</xdr:rowOff>
                  </from>
                  <to>
                    <xdr:col>15</xdr:col>
                    <xdr:colOff>152400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>
                <anchor moveWithCells="1">
                  <from>
                    <xdr:col>14</xdr:col>
                    <xdr:colOff>114300</xdr:colOff>
                    <xdr:row>23</xdr:row>
                    <xdr:rowOff>133350</xdr:rowOff>
                  </from>
                  <to>
                    <xdr:col>15</xdr:col>
                    <xdr:colOff>152400</xdr:colOff>
                    <xdr:row>25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Fill="0" autoLine="0" autoPict="0">
                <anchor moveWithCells="1">
                  <from>
                    <xdr:col>14</xdr:col>
                    <xdr:colOff>114300</xdr:colOff>
                    <xdr:row>22</xdr:row>
                    <xdr:rowOff>76200</xdr:rowOff>
                  </from>
                  <to>
                    <xdr:col>15</xdr:col>
                    <xdr:colOff>152400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Fill="0" autoLine="0" autoPict="0">
                <anchor moveWithCells="1">
                  <from>
                    <xdr:col>14</xdr:col>
                    <xdr:colOff>114300</xdr:colOff>
                    <xdr:row>23</xdr:row>
                    <xdr:rowOff>133350</xdr:rowOff>
                  </from>
                  <to>
                    <xdr:col>15</xdr:col>
                    <xdr:colOff>152400</xdr:colOff>
                    <xdr:row>25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5"/>
  <sheetViews>
    <sheetView topLeftCell="A15" zoomScale="85" zoomScaleNormal="85" workbookViewId="0">
      <selection activeCell="C22" sqref="C22:F22"/>
    </sheetView>
  </sheetViews>
  <sheetFormatPr baseColWidth="10" defaultColWidth="11.42578125" defaultRowHeight="12" x14ac:dyDescent="0.2"/>
  <cols>
    <col min="1" max="1" width="1.5703125" style="12" customWidth="1"/>
    <col min="2" max="2" width="8.140625" style="12" customWidth="1"/>
    <col min="3" max="3" width="10" style="12" customWidth="1"/>
    <col min="4" max="4" width="1.7109375" style="12" customWidth="1"/>
    <col min="5" max="5" width="9.7109375" style="12" customWidth="1"/>
    <col min="6" max="6" width="8.85546875" style="12" customWidth="1"/>
    <col min="7" max="7" width="3.140625" style="12" customWidth="1"/>
    <col min="8" max="8" width="12" style="12" customWidth="1"/>
    <col min="9" max="9" width="13.5703125" style="12" customWidth="1"/>
    <col min="10" max="10" width="2.7109375" style="12" customWidth="1"/>
    <col min="11" max="11" width="11.140625" style="12" customWidth="1"/>
    <col min="12" max="12" width="10" style="12" customWidth="1"/>
    <col min="13" max="13" width="6.42578125" style="12" customWidth="1"/>
    <col min="14" max="14" width="6.7109375" style="12" customWidth="1"/>
    <col min="15" max="16384" width="11.42578125" style="12"/>
  </cols>
  <sheetData>
    <row r="1" spans="1:14" ht="3" customHeight="1" x14ac:dyDescent="0.2">
      <c r="A1" s="43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5"/>
    </row>
    <row r="2" spans="1:14" ht="9.9499999999999993" customHeight="1" x14ac:dyDescent="0.2">
      <c r="A2" s="46"/>
      <c r="N2" s="47"/>
    </row>
    <row r="3" spans="1:14" ht="9.9499999999999993" customHeight="1" x14ac:dyDescent="0.2">
      <c r="A3" s="46"/>
      <c r="N3" s="47"/>
    </row>
    <row r="4" spans="1:14" ht="9.9499999999999993" customHeight="1" x14ac:dyDescent="0.2">
      <c r="A4" s="46"/>
      <c r="N4" s="47"/>
    </row>
    <row r="5" spans="1:14" s="1" customFormat="1" ht="26.25" x14ac:dyDescent="0.4">
      <c r="A5" s="48"/>
      <c r="B5" s="5" t="s">
        <v>7</v>
      </c>
      <c r="C5" s="5"/>
      <c r="D5" s="6"/>
      <c r="E5" s="6"/>
      <c r="F5" s="6"/>
      <c r="G5" s="6"/>
      <c r="H5" s="6"/>
      <c r="I5" s="6"/>
      <c r="N5" s="49"/>
    </row>
    <row r="6" spans="1:14" s="112" customFormat="1" ht="18.75" x14ac:dyDescent="0.3">
      <c r="A6" s="109"/>
      <c r="B6" s="106" t="s">
        <v>162</v>
      </c>
      <c r="C6" s="110"/>
      <c r="D6" s="111"/>
      <c r="E6" s="111"/>
      <c r="F6" s="111"/>
      <c r="G6" s="111"/>
      <c r="H6" s="111"/>
      <c r="I6" s="111"/>
      <c r="N6" s="113"/>
    </row>
    <row r="7" spans="1:14" s="1" customFormat="1" ht="15" x14ac:dyDescent="0.25">
      <c r="A7" s="48"/>
      <c r="N7" s="49"/>
    </row>
    <row r="8" spans="1:14" s="18" customFormat="1" ht="15" customHeight="1" x14ac:dyDescent="0.25">
      <c r="A8" s="50"/>
      <c r="B8" s="2" t="s">
        <v>117</v>
      </c>
      <c r="C8" s="132" t="str">
        <f>INDEX('ABM Nuevos Negocios'!D8:G8,1,1)</f>
        <v>Bolivia</v>
      </c>
      <c r="D8" s="132"/>
      <c r="E8" s="132"/>
      <c r="K8" s="71" t="s">
        <v>118</v>
      </c>
      <c r="L8" s="141">
        <v>45793</v>
      </c>
      <c r="M8" s="141"/>
      <c r="N8" s="51"/>
    </row>
    <row r="9" spans="1:14" s="1" customFormat="1" ht="5.0999999999999996" customHeight="1" x14ac:dyDescent="0.25">
      <c r="A9" s="48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9"/>
    </row>
    <row r="10" spans="1:14" s="1" customFormat="1" ht="5.0999999999999996" customHeight="1" x14ac:dyDescent="0.25">
      <c r="A10" s="48"/>
      <c r="N10" s="49"/>
    </row>
    <row r="11" spans="1:14" s="18" customFormat="1" ht="15" customHeight="1" x14ac:dyDescent="0.25">
      <c r="A11" s="50"/>
      <c r="B11" s="2" t="s">
        <v>119</v>
      </c>
      <c r="H11" s="31" t="s">
        <v>120</v>
      </c>
      <c r="K11" s="132" t="s">
        <v>163</v>
      </c>
      <c r="L11" s="132"/>
      <c r="M11" s="132"/>
      <c r="N11" s="132"/>
    </row>
    <row r="12" spans="1:14" ht="9.9499999999999993" customHeight="1" x14ac:dyDescent="0.2">
      <c r="A12" s="46"/>
      <c r="N12" s="47"/>
    </row>
    <row r="13" spans="1:14" s="18" customFormat="1" ht="15" customHeight="1" x14ac:dyDescent="0.2">
      <c r="A13" s="50"/>
      <c r="B13" s="12"/>
      <c r="C13" s="31" t="s">
        <v>121</v>
      </c>
      <c r="H13" s="31" t="s">
        <v>122</v>
      </c>
      <c r="I13" s="31"/>
      <c r="K13" s="31"/>
      <c r="N13" s="51"/>
    </row>
    <row r="14" spans="1:14" x14ac:dyDescent="0.2">
      <c r="A14" s="46"/>
      <c r="I14" s="32" t="s">
        <v>123</v>
      </c>
      <c r="J14" s="32"/>
      <c r="N14" s="47"/>
    </row>
    <row r="15" spans="1:14" x14ac:dyDescent="0.2">
      <c r="A15" s="46"/>
      <c r="I15" s="32" t="s">
        <v>124</v>
      </c>
      <c r="J15" s="32"/>
      <c r="N15" s="47"/>
    </row>
    <row r="16" spans="1:14" x14ac:dyDescent="0.2">
      <c r="A16" s="46"/>
      <c r="I16" s="32" t="s">
        <v>125</v>
      </c>
      <c r="J16" s="32"/>
      <c r="N16" s="47"/>
    </row>
    <row r="17" spans="1:14" ht="5.0999999999999996" customHeight="1" x14ac:dyDescent="0.2">
      <c r="A17" s="46"/>
      <c r="N17" s="47"/>
    </row>
    <row r="18" spans="1:14" s="10" customFormat="1" ht="3" customHeight="1" x14ac:dyDescent="0.2">
      <c r="A18" s="52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53"/>
    </row>
    <row r="19" spans="1:14" s="10" customFormat="1" ht="5.0999999999999996" customHeight="1" x14ac:dyDescent="0.2">
      <c r="A19" s="52"/>
      <c r="N19" s="53"/>
    </row>
    <row r="20" spans="1:14" ht="15" customHeight="1" x14ac:dyDescent="0.2">
      <c r="A20" s="46"/>
      <c r="B20" s="2" t="s">
        <v>126</v>
      </c>
      <c r="N20" s="47"/>
    </row>
    <row r="21" spans="1:14" ht="9.9499999999999993" customHeight="1" x14ac:dyDescent="0.2">
      <c r="A21" s="46"/>
      <c r="N21" s="47"/>
    </row>
    <row r="22" spans="1:14" s="18" customFormat="1" ht="15" customHeight="1" x14ac:dyDescent="0.25">
      <c r="A22" s="50"/>
      <c r="B22" s="31" t="s">
        <v>127</v>
      </c>
      <c r="C22" s="132" t="s">
        <v>166</v>
      </c>
      <c r="D22" s="132"/>
      <c r="E22" s="132"/>
      <c r="F22" s="132"/>
      <c r="G22" s="31"/>
      <c r="H22" s="31"/>
      <c r="I22" s="31" t="s">
        <v>128</v>
      </c>
      <c r="K22" s="132" t="str">
        <f>INDEX('ABM Nuevos Negocios'!O22:S22,1,1)</f>
        <v>CLOSE UP ACADEMY</v>
      </c>
      <c r="L22" s="132"/>
      <c r="M22" s="132"/>
      <c r="N22" s="51"/>
    </row>
    <row r="23" spans="1:14" ht="9.9499999999999993" customHeight="1" x14ac:dyDescent="0.2">
      <c r="A23" s="4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47"/>
    </row>
    <row r="24" spans="1:14" s="18" customFormat="1" ht="15" customHeight="1" thickBot="1" x14ac:dyDescent="0.3">
      <c r="A24" s="50"/>
      <c r="B24" s="3" t="s">
        <v>129</v>
      </c>
      <c r="D24" s="144">
        <v>45770</v>
      </c>
      <c r="E24" s="144"/>
      <c r="F24" s="144"/>
      <c r="I24" s="31" t="s">
        <v>130</v>
      </c>
      <c r="K24" s="145" t="s">
        <v>35</v>
      </c>
      <c r="L24" s="145"/>
      <c r="M24" s="145"/>
      <c r="N24" s="51"/>
    </row>
    <row r="25" spans="1:14" s="18" customFormat="1" ht="15" customHeight="1" x14ac:dyDescent="0.25">
      <c r="A25" s="50"/>
      <c r="B25" s="3"/>
      <c r="D25" s="72"/>
      <c r="E25" s="72"/>
      <c r="F25" s="72"/>
      <c r="I25" s="31"/>
      <c r="K25" s="146" t="s">
        <v>36</v>
      </c>
      <c r="L25" s="146"/>
      <c r="M25" s="146"/>
      <c r="N25" s="51"/>
    </row>
    <row r="26" spans="1:14" ht="11.25" customHeight="1" x14ac:dyDescent="0.2">
      <c r="A26" s="46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47"/>
    </row>
    <row r="27" spans="1:14" ht="15" customHeight="1" x14ac:dyDescent="0.2">
      <c r="A27" s="46"/>
      <c r="B27" s="31" t="s">
        <v>131</v>
      </c>
      <c r="C27" s="132" t="str">
        <f>INDEX('ABM Nuevos Negocios'!D27:G27,1,1)</f>
        <v>1 mes</v>
      </c>
      <c r="D27" s="132"/>
      <c r="E27" s="132"/>
      <c r="F27" s="73"/>
      <c r="G27" s="73" t="s">
        <v>132</v>
      </c>
      <c r="H27" s="74" t="s">
        <v>40</v>
      </c>
      <c r="I27" s="143">
        <f>INDEX('ABM Nuevos Negocios'!N27:P27,1,1)</f>
        <v>45778</v>
      </c>
      <c r="J27" s="143"/>
      <c r="K27" s="74" t="s">
        <v>41</v>
      </c>
      <c r="L27" s="143"/>
      <c r="M27" s="143"/>
      <c r="N27" s="47"/>
    </row>
    <row r="28" spans="1:14" ht="5.0999999999999996" customHeight="1" x14ac:dyDescent="0.2">
      <c r="A28" s="46"/>
      <c r="N28" s="47"/>
    </row>
    <row r="29" spans="1:14" s="10" customFormat="1" ht="3" customHeight="1" x14ac:dyDescent="0.2">
      <c r="A29" s="52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53"/>
    </row>
    <row r="30" spans="1:14" s="10" customFormat="1" ht="5.0999999999999996" customHeight="1" x14ac:dyDescent="0.2">
      <c r="A30" s="52"/>
      <c r="N30" s="53"/>
    </row>
    <row r="31" spans="1:14" ht="12.75" x14ac:dyDescent="0.2">
      <c r="A31" s="46"/>
      <c r="B31" s="2" t="s">
        <v>133</v>
      </c>
      <c r="N31" s="47"/>
    </row>
    <row r="32" spans="1:14" ht="9.9499999999999993" customHeight="1" x14ac:dyDescent="0.2">
      <c r="A32" s="46"/>
      <c r="N32" s="47"/>
    </row>
    <row r="33" spans="1:14" ht="15" customHeight="1" x14ac:dyDescent="0.2">
      <c r="A33" s="46"/>
      <c r="B33" s="31" t="s">
        <v>134</v>
      </c>
      <c r="C33" s="132" t="str">
        <f>INDEX('ABM Nuevos Negocios'!D33:G33,1,1)</f>
        <v>Dólar</v>
      </c>
      <c r="D33" s="132"/>
      <c r="N33" s="47"/>
    </row>
    <row r="34" spans="1:14" x14ac:dyDescent="0.2">
      <c r="A34" s="46"/>
      <c r="N34" s="47"/>
    </row>
    <row r="35" spans="1:14" ht="14.25" customHeight="1" x14ac:dyDescent="0.2">
      <c r="A35" s="46"/>
      <c r="E35" s="136" t="s">
        <v>83</v>
      </c>
      <c r="F35" s="138"/>
      <c r="H35" s="136" t="s">
        <v>78</v>
      </c>
      <c r="I35" s="138"/>
      <c r="K35" s="136" t="s">
        <v>0</v>
      </c>
      <c r="L35" s="137"/>
      <c r="M35" s="138"/>
      <c r="N35" s="47"/>
    </row>
    <row r="36" spans="1:14" ht="24" x14ac:dyDescent="0.2">
      <c r="A36" s="46"/>
      <c r="E36" s="20" t="s">
        <v>80</v>
      </c>
      <c r="F36" s="21" t="s">
        <v>135</v>
      </c>
      <c r="H36" s="20" t="s">
        <v>80</v>
      </c>
      <c r="I36" s="21" t="s">
        <v>135</v>
      </c>
      <c r="K36" s="20" t="s">
        <v>80</v>
      </c>
      <c r="L36" s="21" t="s">
        <v>135</v>
      </c>
      <c r="M36" s="27" t="s">
        <v>1</v>
      </c>
      <c r="N36" s="47"/>
    </row>
    <row r="37" spans="1:14" ht="5.0999999999999996" customHeight="1" x14ac:dyDescent="0.2">
      <c r="A37" s="46"/>
      <c r="N37" s="47"/>
    </row>
    <row r="38" spans="1:14" x14ac:dyDescent="0.2">
      <c r="A38" s="46"/>
      <c r="B38" s="67" t="s">
        <v>113</v>
      </c>
      <c r="N38" s="47"/>
    </row>
    <row r="39" spans="1:14" ht="5.0999999999999996" customHeight="1" x14ac:dyDescent="0.2">
      <c r="A39" s="46"/>
      <c r="N39" s="47"/>
    </row>
    <row r="40" spans="1:14" s="18" customFormat="1" ht="15" customHeight="1" x14ac:dyDescent="0.25">
      <c r="A40" s="50"/>
      <c r="B40" s="88" t="str">
        <f>'ABM Nuevos Negocios'!B41</f>
        <v>RM</v>
      </c>
      <c r="C40" s="88"/>
      <c r="E40" s="89">
        <f>'ABM Nuevos Negocios'!G41</f>
        <v>0</v>
      </c>
      <c r="F40" s="90">
        <f>'ABM Nuevos Negocios'!H41</f>
        <v>0</v>
      </c>
      <c r="G40" s="91"/>
      <c r="H40" s="89">
        <f>'ABM Nuevos Negocios'!L41</f>
        <v>0</v>
      </c>
      <c r="I40" s="90">
        <f>'ABM Nuevos Negocios'!M41</f>
        <v>0</v>
      </c>
      <c r="J40" s="91"/>
      <c r="K40" s="89">
        <f>'ABM Nuevos Negocios'!Q41</f>
        <v>0</v>
      </c>
      <c r="L40" s="90">
        <f>'ABM Nuevos Negocios'!R41</f>
        <v>0</v>
      </c>
      <c r="M40" s="102" t="str">
        <f>IFERROR(L40/F40,"-")</f>
        <v>-</v>
      </c>
      <c r="N40" s="51"/>
    </row>
    <row r="41" spans="1:14" ht="4.5" customHeight="1" x14ac:dyDescent="0.2">
      <c r="A41" s="46"/>
      <c r="E41" s="75"/>
      <c r="F41" s="76"/>
      <c r="G41" s="76"/>
      <c r="H41" s="75"/>
      <c r="I41" s="76"/>
      <c r="J41" s="76"/>
      <c r="K41" s="75"/>
      <c r="L41" s="76"/>
      <c r="M41" s="103"/>
      <c r="N41" s="47"/>
    </row>
    <row r="42" spans="1:14" s="18" customFormat="1" ht="15" customHeight="1" x14ac:dyDescent="0.25">
      <c r="A42" s="50"/>
      <c r="B42" s="88" t="str">
        <f>'ABM Nuevos Negocios'!B45</f>
        <v>TD</v>
      </c>
      <c r="C42" s="88"/>
      <c r="E42" s="89">
        <f>'ABM Nuevos Negocios'!G45</f>
        <v>0</v>
      </c>
      <c r="F42" s="90">
        <f>'ABM Nuevos Negocios'!H45</f>
        <v>0</v>
      </c>
      <c r="G42" s="91"/>
      <c r="H42" s="89">
        <f>'ABM Nuevos Negocios'!L45</f>
        <v>0</v>
      </c>
      <c r="I42" s="90">
        <f>'ABM Nuevos Negocios'!M45</f>
        <v>0</v>
      </c>
      <c r="J42" s="91"/>
      <c r="K42" s="89">
        <f>'ABM Nuevos Negocios'!Q45</f>
        <v>0</v>
      </c>
      <c r="L42" s="90">
        <f>'ABM Nuevos Negocios'!R45</f>
        <v>0</v>
      </c>
      <c r="M42" s="102" t="str">
        <f>IFERROR(L42/F42,"-")</f>
        <v>-</v>
      </c>
      <c r="N42" s="51"/>
    </row>
    <row r="43" spans="1:14" ht="4.5" customHeight="1" x14ac:dyDescent="0.2">
      <c r="A43" s="46"/>
      <c r="E43" s="75"/>
      <c r="F43" s="76"/>
      <c r="G43" s="76"/>
      <c r="H43" s="75"/>
      <c r="I43" s="76"/>
      <c r="J43" s="76"/>
      <c r="K43" s="75"/>
      <c r="L43" s="76"/>
      <c r="M43" s="103"/>
      <c r="N43" s="47"/>
    </row>
    <row r="44" spans="1:14" s="18" customFormat="1" ht="15" customHeight="1" x14ac:dyDescent="0.25">
      <c r="A44" s="50"/>
      <c r="B44" s="88" t="str">
        <f>'ABM Nuevos Negocios'!B48</f>
        <v>TDD</v>
      </c>
      <c r="C44" s="88"/>
      <c r="E44" s="89">
        <f>'ABM Nuevos Negocios'!G47</f>
        <v>0</v>
      </c>
      <c r="F44" s="90">
        <f>'ABM Nuevos Negocios'!H47</f>
        <v>0</v>
      </c>
      <c r="G44" s="91"/>
      <c r="H44" s="89">
        <f>'ABM Nuevos Negocios'!L47</f>
        <v>0</v>
      </c>
      <c r="I44" s="90">
        <f>'ABM Nuevos Negocios'!M47</f>
        <v>0</v>
      </c>
      <c r="J44" s="91"/>
      <c r="K44" s="89">
        <f>'ABM Nuevos Negocios'!Q47</f>
        <v>0</v>
      </c>
      <c r="L44" s="90">
        <f>'ABM Nuevos Negocios'!R47</f>
        <v>0</v>
      </c>
      <c r="M44" s="102" t="str">
        <f>IFERROR(L44/F44,"-")</f>
        <v>-</v>
      </c>
      <c r="N44" s="51"/>
    </row>
    <row r="45" spans="1:14" ht="4.5" customHeight="1" x14ac:dyDescent="0.2">
      <c r="A45" s="46"/>
      <c r="E45" s="75"/>
      <c r="F45" s="76"/>
      <c r="G45" s="76"/>
      <c r="H45" s="75"/>
      <c r="I45" s="76"/>
      <c r="J45" s="76"/>
      <c r="K45" s="75"/>
      <c r="L45" s="76"/>
      <c r="M45" s="103"/>
      <c r="N45" s="47"/>
    </row>
    <row r="46" spans="1:14" s="18" customFormat="1" ht="15" customHeight="1" x14ac:dyDescent="0.25">
      <c r="A46" s="50"/>
      <c r="B46" s="88" t="str">
        <f>'ABM Nuevos Negocios'!B51</f>
        <v>Estudio Especial</v>
      </c>
      <c r="C46" s="88"/>
      <c r="E46" s="89">
        <f>'ABM Nuevos Negocios'!G51</f>
        <v>0</v>
      </c>
      <c r="F46" s="90">
        <f>'ABM Nuevos Negocios'!H51</f>
        <v>0</v>
      </c>
      <c r="G46" s="91"/>
      <c r="H46" s="89">
        <f>'ABM Nuevos Negocios'!L51</f>
        <v>0</v>
      </c>
      <c r="I46" s="90">
        <f>'ABM Nuevos Negocios'!M51</f>
        <v>0</v>
      </c>
      <c r="J46" s="91"/>
      <c r="K46" s="89">
        <f>'ABM Nuevos Negocios'!Q51</f>
        <v>0</v>
      </c>
      <c r="L46" s="90">
        <f>'ABM Nuevos Negocios'!R51</f>
        <v>0</v>
      </c>
      <c r="M46" s="102" t="str">
        <f>IFERROR(L46/F46,"-")</f>
        <v>-</v>
      </c>
      <c r="N46" s="51"/>
    </row>
    <row r="47" spans="1:14" ht="4.5" customHeight="1" x14ac:dyDescent="0.2">
      <c r="A47" s="46"/>
      <c r="E47" s="75"/>
      <c r="F47" s="76"/>
      <c r="G47" s="76"/>
      <c r="H47" s="75"/>
      <c r="I47" s="76"/>
      <c r="J47" s="76"/>
      <c r="K47" s="75"/>
      <c r="L47" s="76"/>
      <c r="M47" s="103"/>
      <c r="N47" s="47"/>
    </row>
    <row r="48" spans="1:14" s="18" customFormat="1" ht="15" customHeight="1" x14ac:dyDescent="0.25">
      <c r="A48" s="50"/>
      <c r="B48" s="88" t="str">
        <f>'ABM Nuevos Negocios'!B54</f>
        <v>Consultoría</v>
      </c>
      <c r="C48" s="88"/>
      <c r="E48" s="89">
        <f>'ABM Nuevos Negocios'!G53</f>
        <v>0</v>
      </c>
      <c r="F48" s="90">
        <f>'ABM Nuevos Negocios'!H54</f>
        <v>0</v>
      </c>
      <c r="G48" s="91"/>
      <c r="H48" s="89">
        <f>'ABM Nuevos Negocios'!L54</f>
        <v>0</v>
      </c>
      <c r="I48" s="90">
        <f>'ABM Nuevos Negocios'!M54</f>
        <v>0</v>
      </c>
      <c r="J48" s="91"/>
      <c r="K48" s="89">
        <f>'ABM Nuevos Negocios'!Q54</f>
        <v>0</v>
      </c>
      <c r="L48" s="90">
        <f>'ABM Nuevos Negocios'!R54</f>
        <v>0</v>
      </c>
      <c r="M48" s="102" t="str">
        <f>IFERROR(L48/F48,"-")</f>
        <v>-</v>
      </c>
      <c r="N48" s="51"/>
    </row>
    <row r="49" spans="1:15" x14ac:dyDescent="0.2">
      <c r="A49" s="46"/>
      <c r="E49" s="75"/>
      <c r="F49" s="76"/>
      <c r="G49" s="76"/>
      <c r="H49" s="75"/>
      <c r="I49" s="76"/>
      <c r="J49" s="76"/>
      <c r="K49" s="75"/>
      <c r="L49" s="76"/>
      <c r="M49" s="103"/>
      <c r="N49" s="47"/>
    </row>
    <row r="50" spans="1:15" s="13" customFormat="1" x14ac:dyDescent="0.2">
      <c r="A50" s="64" t="s">
        <v>115</v>
      </c>
      <c r="B50" s="60" t="s">
        <v>99</v>
      </c>
      <c r="C50" s="60"/>
      <c r="E50" s="77">
        <f>E40+E42+E44+E46+E48</f>
        <v>0</v>
      </c>
      <c r="F50" s="62">
        <f>F40+F42+F44+F46+F48</f>
        <v>0</v>
      </c>
      <c r="G50" s="34"/>
      <c r="H50" s="77">
        <f>H40+H42+H44+H46+H48</f>
        <v>0</v>
      </c>
      <c r="I50" s="62">
        <f>I40+I42+I44+I46+I48</f>
        <v>0</v>
      </c>
      <c r="J50" s="34"/>
      <c r="K50" s="77">
        <f>K40+K42+K44+K46+K48</f>
        <v>0</v>
      </c>
      <c r="L50" s="62">
        <f>L40+L42+L44+L46+L48</f>
        <v>0</v>
      </c>
      <c r="M50" s="95" t="str">
        <f>IFERROR(L50/F50,"-")</f>
        <v>-</v>
      </c>
      <c r="N50" s="55"/>
    </row>
    <row r="51" spans="1:15" ht="2.25" customHeight="1" x14ac:dyDescent="0.2">
      <c r="A51" s="65"/>
      <c r="E51" s="78"/>
      <c r="H51" s="78"/>
      <c r="K51" s="78"/>
      <c r="M51" s="41"/>
      <c r="N51" s="55"/>
      <c r="O51" s="13"/>
    </row>
    <row r="52" spans="1:15" s="13" customFormat="1" x14ac:dyDescent="0.2">
      <c r="A52" s="64" t="s">
        <v>115</v>
      </c>
      <c r="B52" s="57" t="s">
        <v>100</v>
      </c>
      <c r="C52" s="57"/>
      <c r="E52" s="79">
        <f>E50*12</f>
        <v>0</v>
      </c>
      <c r="F52" s="59">
        <f>F50*12</f>
        <v>0</v>
      </c>
      <c r="G52" s="34"/>
      <c r="H52" s="79">
        <f>H50*1</f>
        <v>0</v>
      </c>
      <c r="I52" s="59">
        <f>I50*1</f>
        <v>0</v>
      </c>
      <c r="J52" s="34"/>
      <c r="K52" s="79">
        <f>K50*1</f>
        <v>0</v>
      </c>
      <c r="L52" s="59">
        <f>L50*1</f>
        <v>0</v>
      </c>
      <c r="M52" s="96" t="str">
        <f>IFERROR(L52/F52,"-")</f>
        <v>-</v>
      </c>
      <c r="N52" s="55"/>
    </row>
    <row r="53" spans="1:15" s="29" customFormat="1" x14ac:dyDescent="0.2">
      <c r="A53" s="80"/>
      <c r="B53" s="35" t="s">
        <v>101</v>
      </c>
      <c r="E53" s="36"/>
      <c r="F53" s="37">
        <f>IFERROR(F50/E50-1,0)</f>
        <v>0</v>
      </c>
      <c r="G53" s="36"/>
      <c r="H53" s="36"/>
      <c r="I53" s="37">
        <f>IFERROR(I50/H50-1,0)</f>
        <v>0</v>
      </c>
      <c r="J53" s="36"/>
      <c r="K53" s="81"/>
      <c r="L53" s="37"/>
      <c r="M53" s="97"/>
      <c r="N53" s="56"/>
    </row>
    <row r="54" spans="1:15" x14ac:dyDescent="0.2">
      <c r="A54" s="46"/>
      <c r="B54" s="67" t="s">
        <v>147</v>
      </c>
      <c r="N54" s="55"/>
      <c r="O54" s="13"/>
    </row>
    <row r="55" spans="1:15" ht="5.0999999999999996" customHeight="1" x14ac:dyDescent="0.2">
      <c r="A55" s="46"/>
      <c r="N55" s="47"/>
    </row>
    <row r="56" spans="1:15" ht="5.0999999999999996" customHeight="1" x14ac:dyDescent="0.2">
      <c r="A56" s="46"/>
      <c r="N56" s="47"/>
    </row>
    <row r="57" spans="1:15" s="18" customFormat="1" ht="15" customHeight="1" x14ac:dyDescent="0.25">
      <c r="A57" s="50"/>
      <c r="B57" s="88" t="str">
        <f>'ABM Nuevos Negocios'!B63</f>
        <v>TM</v>
      </c>
      <c r="C57" s="88"/>
      <c r="E57" s="89">
        <f>'ABM Nuevos Negocios'!G63</f>
        <v>0</v>
      </c>
      <c r="F57" s="90">
        <f>'ABM Nuevos Negocios'!H63</f>
        <v>0</v>
      </c>
      <c r="G57" s="91"/>
      <c r="H57" s="89">
        <f>'ABM Nuevos Negocios'!L63</f>
        <v>0</v>
      </c>
      <c r="I57" s="90">
        <f>'ABM Nuevos Negocios'!M63</f>
        <v>0</v>
      </c>
      <c r="J57" s="91"/>
      <c r="K57" s="89">
        <f>'ABM Nuevos Negocios'!Q63</f>
        <v>0</v>
      </c>
      <c r="L57" s="90">
        <f>'ABM Nuevos Negocios'!R63</f>
        <v>0</v>
      </c>
      <c r="M57" s="102" t="str">
        <f>IFERROR(L57/F57,"-")</f>
        <v>-</v>
      </c>
      <c r="N57" s="51"/>
    </row>
    <row r="58" spans="1:15" ht="4.5" customHeight="1" x14ac:dyDescent="0.2">
      <c r="A58" s="46"/>
      <c r="C58" s="18"/>
      <c r="D58" s="18"/>
      <c r="E58" s="92"/>
      <c r="F58" s="93"/>
      <c r="G58" s="93"/>
      <c r="H58" s="92"/>
      <c r="I58" s="93"/>
      <c r="J58" s="93"/>
      <c r="K58" s="92"/>
      <c r="L58" s="93"/>
      <c r="M58" s="104"/>
      <c r="N58" s="47"/>
    </row>
    <row r="59" spans="1:15" s="18" customFormat="1" ht="15" customHeight="1" x14ac:dyDescent="0.25">
      <c r="A59" s="50"/>
      <c r="B59" s="88" t="str">
        <f>'ABM Nuevos Negocios'!B65</f>
        <v>TD</v>
      </c>
      <c r="C59" s="88"/>
      <c r="E59" s="89">
        <f>'ABM Nuevos Negocios'!G65</f>
        <v>0</v>
      </c>
      <c r="F59" s="90">
        <f>'ABM Nuevos Negocios'!H65</f>
        <v>0</v>
      </c>
      <c r="G59" s="91"/>
      <c r="H59" s="89">
        <f>'ABM Nuevos Negocios'!L65</f>
        <v>0</v>
      </c>
      <c r="I59" s="90">
        <f>'ABM Nuevos Negocios'!M65</f>
        <v>0</v>
      </c>
      <c r="J59" s="91"/>
      <c r="K59" s="89">
        <f>'ABM Nuevos Negocios'!Q65</f>
        <v>0</v>
      </c>
      <c r="L59" s="90">
        <f>'ABM Nuevos Negocios'!R65</f>
        <v>0</v>
      </c>
      <c r="M59" s="102" t="str">
        <f>IFERROR(L59/F59,"-")</f>
        <v>-</v>
      </c>
      <c r="N59" s="51"/>
    </row>
    <row r="60" spans="1:15" ht="4.5" customHeight="1" x14ac:dyDescent="0.2">
      <c r="A60" s="46"/>
      <c r="C60" s="18"/>
      <c r="D60" s="18"/>
      <c r="E60" s="92"/>
      <c r="F60" s="93"/>
      <c r="G60" s="93"/>
      <c r="H60" s="92"/>
      <c r="I60" s="93"/>
      <c r="J60" s="93"/>
      <c r="K60" s="92"/>
      <c r="L60" s="93"/>
      <c r="M60" s="104"/>
      <c r="N60" s="47"/>
    </row>
    <row r="61" spans="1:15" s="18" customFormat="1" ht="15" customHeight="1" x14ac:dyDescent="0.25">
      <c r="A61" s="50"/>
      <c r="B61" s="88" t="str">
        <f>'ABM Nuevos Negocios'!B67</f>
        <v>Estudio Especial</v>
      </c>
      <c r="C61" s="88"/>
      <c r="E61" s="89">
        <f>'ABM Nuevos Negocios'!G67</f>
        <v>0</v>
      </c>
      <c r="F61" s="90">
        <f>'ABM Nuevos Negocios'!H67</f>
        <v>0</v>
      </c>
      <c r="G61" s="91"/>
      <c r="H61" s="89">
        <f>'ABM Nuevos Negocios'!L67</f>
        <v>5300</v>
      </c>
      <c r="I61" s="90">
        <f>'ABM Nuevos Negocios'!M67</f>
        <v>5300</v>
      </c>
      <c r="J61" s="91"/>
      <c r="K61" s="89">
        <f>'ABM Nuevos Negocios'!Q67</f>
        <v>5300</v>
      </c>
      <c r="L61" s="90">
        <f>'ABM Nuevos Negocios'!R67</f>
        <v>5300</v>
      </c>
      <c r="M61" s="102" t="str">
        <f>IFERROR(L61/F61,"-")</f>
        <v>-</v>
      </c>
      <c r="N61" s="51"/>
    </row>
    <row r="62" spans="1:15" ht="4.5" customHeight="1" x14ac:dyDescent="0.2">
      <c r="A62" s="46"/>
      <c r="C62" s="18"/>
      <c r="D62" s="18"/>
      <c r="E62" s="92"/>
      <c r="F62" s="93"/>
      <c r="G62" s="93"/>
      <c r="H62" s="92"/>
      <c r="I62" s="93"/>
      <c r="J62" s="93"/>
      <c r="K62" s="92"/>
      <c r="L62" s="93"/>
      <c r="M62" s="104"/>
      <c r="N62" s="47"/>
    </row>
    <row r="63" spans="1:15" s="18" customFormat="1" ht="15" customHeight="1" x14ac:dyDescent="0.25">
      <c r="A63" s="50"/>
      <c r="B63" s="88" t="str">
        <f>'ABM Nuevos Negocios'!B69</f>
        <v>Consultoría</v>
      </c>
      <c r="C63" s="88"/>
      <c r="E63" s="89">
        <f>'ABM Nuevos Negocios'!G69</f>
        <v>0</v>
      </c>
      <c r="F63" s="90">
        <f>'ABM Nuevos Negocios'!H69</f>
        <v>0</v>
      </c>
      <c r="G63" s="91"/>
      <c r="H63" s="89"/>
      <c r="I63" s="90"/>
      <c r="J63" s="91"/>
      <c r="K63" s="89"/>
      <c r="L63" s="90"/>
      <c r="M63" s="102" t="str">
        <f>IFERROR(L63/F63,"-")</f>
        <v>-</v>
      </c>
      <c r="N63" s="51"/>
    </row>
    <row r="64" spans="1:15" x14ac:dyDescent="0.2">
      <c r="A64" s="46"/>
      <c r="E64" s="75"/>
      <c r="F64" s="76"/>
      <c r="G64" s="76"/>
      <c r="H64" s="75"/>
      <c r="I64" s="76"/>
      <c r="J64" s="76"/>
      <c r="K64" s="75"/>
      <c r="L64" s="76"/>
      <c r="M64" s="103"/>
      <c r="N64" s="47"/>
    </row>
    <row r="65" spans="1:15" s="13" customFormat="1" x14ac:dyDescent="0.2">
      <c r="A65" s="64" t="s">
        <v>115</v>
      </c>
      <c r="B65" s="57" t="s">
        <v>100</v>
      </c>
      <c r="C65" s="60"/>
      <c r="E65" s="77">
        <f>E57+E59+E61+E63</f>
        <v>0</v>
      </c>
      <c r="F65" s="62">
        <f>F57+F59+F61+F63</f>
        <v>0</v>
      </c>
      <c r="G65" s="34"/>
      <c r="H65" s="77">
        <f>H57+H59+H61+H63</f>
        <v>5300</v>
      </c>
      <c r="I65" s="62">
        <f>I57+I59+I61+I63</f>
        <v>5300</v>
      </c>
      <c r="J65" s="34"/>
      <c r="K65" s="77">
        <f>K57+K59+K61+K63</f>
        <v>5300</v>
      </c>
      <c r="L65" s="62">
        <f>L57+L59+L61+L63</f>
        <v>5300</v>
      </c>
      <c r="M65" s="95" t="str">
        <f>IFERROR(L65/F65,"-")</f>
        <v>-</v>
      </c>
      <c r="N65" s="55"/>
    </row>
    <row r="66" spans="1:15" ht="2.25" customHeight="1" x14ac:dyDescent="0.2">
      <c r="A66" s="65"/>
      <c r="E66" s="78"/>
      <c r="H66" s="78"/>
      <c r="K66" s="78"/>
      <c r="M66" s="41"/>
      <c r="N66" s="55"/>
      <c r="O66" s="13"/>
    </row>
    <row r="67" spans="1:15" s="29" customFormat="1" x14ac:dyDescent="0.2">
      <c r="A67" s="80"/>
      <c r="B67" s="35" t="s">
        <v>101</v>
      </c>
      <c r="E67" s="36"/>
      <c r="F67" s="37">
        <f>IFERROR(F65/E65-1,0)</f>
        <v>0</v>
      </c>
      <c r="G67" s="36"/>
      <c r="H67" s="36"/>
      <c r="I67" s="37">
        <f>IFERROR(I65/H65-1,0)</f>
        <v>0</v>
      </c>
      <c r="J67" s="36"/>
      <c r="K67" s="81"/>
      <c r="L67" s="37"/>
      <c r="M67" s="97"/>
      <c r="N67" s="56"/>
    </row>
    <row r="68" spans="1:15" x14ac:dyDescent="0.2">
      <c r="A68" s="46"/>
      <c r="M68" s="41"/>
      <c r="N68" s="55"/>
      <c r="O68" s="13"/>
    </row>
    <row r="69" spans="1:15" x14ac:dyDescent="0.2">
      <c r="A69" s="46"/>
      <c r="B69" s="57" t="s">
        <v>114</v>
      </c>
      <c r="C69" s="57"/>
      <c r="D69" s="13"/>
      <c r="E69" s="77">
        <f>E52+E65</f>
        <v>0</v>
      </c>
      <c r="F69" s="62">
        <f>F52+F65</f>
        <v>0</v>
      </c>
      <c r="G69" s="34"/>
      <c r="H69" s="77">
        <f>H52+H65</f>
        <v>5300</v>
      </c>
      <c r="I69" s="62">
        <f>I52+I65</f>
        <v>5300</v>
      </c>
      <c r="J69" s="34"/>
      <c r="K69" s="77">
        <f>K52+K65</f>
        <v>5300</v>
      </c>
      <c r="L69" s="62">
        <f>L52+L65</f>
        <v>5300</v>
      </c>
      <c r="M69" s="95" t="str">
        <f>IFERROR(L69/F69,"-")</f>
        <v>-</v>
      </c>
      <c r="N69" s="55"/>
      <c r="O69" s="13"/>
    </row>
    <row r="70" spans="1:15" x14ac:dyDescent="0.2">
      <c r="A70" s="46"/>
      <c r="N70" s="55"/>
      <c r="O70" s="13"/>
    </row>
    <row r="71" spans="1:15" x14ac:dyDescent="0.2">
      <c r="A71" s="46"/>
      <c r="B71" s="120" t="s">
        <v>150</v>
      </c>
      <c r="E71" s="41" t="s">
        <v>3</v>
      </c>
      <c r="F71" s="123">
        <f>'ABM Nuevos Negocios'!G77</f>
        <v>0</v>
      </c>
      <c r="G71" s="41" t="s">
        <v>4</v>
      </c>
      <c r="H71" s="123">
        <f>'ABM Nuevos Negocios'!I77</f>
        <v>0</v>
      </c>
      <c r="K71" s="124" t="s">
        <v>155</v>
      </c>
      <c r="L71" s="125">
        <f>'ABM Nuevos Negocios'!Q77</f>
        <v>0</v>
      </c>
      <c r="N71" s="55"/>
      <c r="O71" s="13"/>
    </row>
    <row r="72" spans="1:15" ht="5.0999999999999996" customHeight="1" x14ac:dyDescent="0.2">
      <c r="A72" s="46"/>
      <c r="N72" s="47"/>
    </row>
    <row r="73" spans="1:15" ht="5.0999999999999996" customHeight="1" x14ac:dyDescent="0.2">
      <c r="A73" s="46"/>
      <c r="N73" s="47"/>
    </row>
    <row r="74" spans="1:15" s="10" customFormat="1" ht="3" customHeight="1" x14ac:dyDescent="0.2">
      <c r="A74" s="52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53"/>
    </row>
    <row r="75" spans="1:15" s="10" customFormat="1" ht="5.0999999999999996" customHeight="1" x14ac:dyDescent="0.2">
      <c r="A75" s="52"/>
      <c r="N75" s="53"/>
    </row>
    <row r="76" spans="1:15" ht="12.75" x14ac:dyDescent="0.2">
      <c r="A76" s="46"/>
      <c r="B76" s="30" t="s">
        <v>136</v>
      </c>
      <c r="N76" s="47"/>
    </row>
    <row r="77" spans="1:15" ht="15" customHeight="1" x14ac:dyDescent="0.2">
      <c r="A77" s="46"/>
      <c r="B77" s="127" t="str">
        <f>'ABM Nuevos Negocios'!B82</f>
        <v>ONE SHOT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47"/>
    </row>
    <row r="78" spans="1:15" ht="15" customHeight="1" x14ac:dyDescent="0.2">
      <c r="A78" s="46"/>
      <c r="B78" s="82" t="str">
        <f>'ABM Nuevos Negocios'!B83</f>
        <v>CLOSE UP ACADEMY (ORATORIA)</v>
      </c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47"/>
    </row>
    <row r="79" spans="1:15" ht="15" customHeight="1" x14ac:dyDescent="0.2">
      <c r="A79" s="46"/>
      <c r="B79" s="82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47"/>
    </row>
    <row r="80" spans="1:15" ht="15" customHeight="1" x14ac:dyDescent="0.2">
      <c r="A80" s="46"/>
      <c r="B80" s="82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47"/>
    </row>
    <row r="81" spans="1:14" ht="5.0999999999999996" customHeight="1" x14ac:dyDescent="0.2">
      <c r="A81" s="46"/>
      <c r="N81" s="47"/>
    </row>
    <row r="82" spans="1:14" s="10" customFormat="1" ht="3" customHeight="1" x14ac:dyDescent="0.2">
      <c r="A82" s="52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53"/>
    </row>
    <row r="83" spans="1:14" s="10" customFormat="1" ht="5.0999999999999996" customHeight="1" x14ac:dyDescent="0.2">
      <c r="A83" s="52"/>
      <c r="N83" s="53"/>
    </row>
    <row r="84" spans="1:14" ht="15" customHeight="1" x14ac:dyDescent="0.2">
      <c r="A84" s="46"/>
      <c r="B84" s="30" t="s">
        <v>137</v>
      </c>
      <c r="N84" s="47"/>
    </row>
    <row r="85" spans="1:14" ht="9.9499999999999993" customHeight="1" x14ac:dyDescent="0.2">
      <c r="A85" s="46"/>
      <c r="N85" s="47"/>
    </row>
    <row r="86" spans="1:14" s="18" customFormat="1" ht="15" customHeight="1" x14ac:dyDescent="0.25">
      <c r="A86" s="50"/>
      <c r="B86" s="31" t="s">
        <v>2</v>
      </c>
      <c r="F86" s="18" t="s">
        <v>138</v>
      </c>
      <c r="G86" s="39"/>
      <c r="H86" s="83" t="s">
        <v>139</v>
      </c>
      <c r="N86" s="51"/>
    </row>
    <row r="87" spans="1:14" ht="9.9499999999999993" customHeight="1" x14ac:dyDescent="0.2">
      <c r="A87" s="46"/>
      <c r="G87" s="40"/>
      <c r="H87" s="40"/>
      <c r="N87" s="47"/>
    </row>
    <row r="88" spans="1:14" s="18" customFormat="1" ht="15" customHeight="1" x14ac:dyDescent="0.25">
      <c r="A88" s="50"/>
      <c r="B88" s="31" t="s">
        <v>5</v>
      </c>
      <c r="F88" s="18" t="s">
        <v>138</v>
      </c>
      <c r="G88" s="39"/>
      <c r="H88" s="18" t="s">
        <v>139</v>
      </c>
      <c r="N88" s="51"/>
    </row>
    <row r="89" spans="1:14" ht="9.9499999999999993" customHeight="1" x14ac:dyDescent="0.2">
      <c r="A89" s="46"/>
      <c r="G89" s="40"/>
      <c r="H89" s="40"/>
      <c r="N89" s="47"/>
    </row>
    <row r="90" spans="1:14" s="18" customFormat="1" ht="15" customHeight="1" x14ac:dyDescent="0.25">
      <c r="A90" s="50"/>
      <c r="B90" s="31" t="s">
        <v>6</v>
      </c>
      <c r="F90" s="18" t="s">
        <v>138</v>
      </c>
      <c r="G90" s="39"/>
      <c r="H90" s="83" t="s">
        <v>139</v>
      </c>
      <c r="I90" s="84" t="s">
        <v>97</v>
      </c>
      <c r="J90" s="129"/>
      <c r="K90" s="129"/>
      <c r="N90" s="51"/>
    </row>
    <row r="91" spans="1:14" ht="9.9499999999999993" customHeight="1" x14ac:dyDescent="0.2">
      <c r="A91" s="46"/>
      <c r="G91" s="40"/>
      <c r="H91" s="40"/>
      <c r="N91" s="47"/>
    </row>
    <row r="92" spans="1:14" s="18" customFormat="1" ht="15" customHeight="1" x14ac:dyDescent="0.25">
      <c r="A92" s="50"/>
      <c r="B92" s="31" t="s">
        <v>140</v>
      </c>
      <c r="F92" s="18" t="s">
        <v>138</v>
      </c>
      <c r="G92" s="39"/>
      <c r="H92" s="83" t="s">
        <v>139</v>
      </c>
      <c r="I92" s="84" t="s">
        <v>141</v>
      </c>
      <c r="J92" s="129"/>
      <c r="K92" s="129"/>
      <c r="L92" s="129"/>
      <c r="N92" s="51"/>
    </row>
    <row r="93" spans="1:14" ht="5.0999999999999996" customHeight="1" x14ac:dyDescent="0.2">
      <c r="A93" s="46"/>
      <c r="N93" s="47"/>
    </row>
    <row r="94" spans="1:14" s="10" customFormat="1" ht="3" customHeight="1" x14ac:dyDescent="0.2">
      <c r="A94" s="52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53"/>
    </row>
    <row r="95" spans="1:14" x14ac:dyDescent="0.2">
      <c r="A95" s="85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7"/>
    </row>
  </sheetData>
  <mergeCells count="17">
    <mergeCell ref="D24:F24"/>
    <mergeCell ref="K24:M24"/>
    <mergeCell ref="K25:M25"/>
    <mergeCell ref="C8:E8"/>
    <mergeCell ref="L8:M8"/>
    <mergeCell ref="C22:F22"/>
    <mergeCell ref="K22:M22"/>
    <mergeCell ref="K11:N11"/>
    <mergeCell ref="J92:L92"/>
    <mergeCell ref="J90:K90"/>
    <mergeCell ref="C27:E27"/>
    <mergeCell ref="I27:J27"/>
    <mergeCell ref="L27:M27"/>
    <mergeCell ref="C33:D33"/>
    <mergeCell ref="E35:F35"/>
    <mergeCell ref="H35:I35"/>
    <mergeCell ref="K35:M35"/>
  </mergeCells>
  <pageMargins left="0.32" right="0.23" top="0.5" bottom="0.4" header="0.3" footer="0.3"/>
  <pageSetup paperSize="5" scale="95" orientation="portrait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5</xdr:col>
                    <xdr:colOff>0</xdr:colOff>
                    <xdr:row>84</xdr:row>
                    <xdr:rowOff>114300</xdr:rowOff>
                  </from>
                  <to>
                    <xdr:col>5</xdr:col>
                    <xdr:colOff>304800</xdr:colOff>
                    <xdr:row>86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5</xdr:col>
                    <xdr:colOff>0</xdr:colOff>
                    <xdr:row>86</xdr:row>
                    <xdr:rowOff>114300</xdr:rowOff>
                  </from>
                  <to>
                    <xdr:col>5</xdr:col>
                    <xdr:colOff>304800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5</xdr:col>
                    <xdr:colOff>0</xdr:colOff>
                    <xdr:row>88</xdr:row>
                    <xdr:rowOff>114300</xdr:rowOff>
                  </from>
                  <to>
                    <xdr:col>5</xdr:col>
                    <xdr:colOff>304800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7</xdr:col>
                    <xdr:colOff>200025</xdr:colOff>
                    <xdr:row>84</xdr:row>
                    <xdr:rowOff>114300</xdr:rowOff>
                  </from>
                  <to>
                    <xdr:col>7</xdr:col>
                    <xdr:colOff>504825</xdr:colOff>
                    <xdr:row>86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7</xdr:col>
                    <xdr:colOff>200025</xdr:colOff>
                    <xdr:row>86</xdr:row>
                    <xdr:rowOff>114300</xdr:rowOff>
                  </from>
                  <to>
                    <xdr:col>7</xdr:col>
                    <xdr:colOff>504825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7</xdr:col>
                    <xdr:colOff>200025</xdr:colOff>
                    <xdr:row>88</xdr:row>
                    <xdr:rowOff>114300</xdr:rowOff>
                  </from>
                  <to>
                    <xdr:col>7</xdr:col>
                    <xdr:colOff>504825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6</xdr:col>
                    <xdr:colOff>19050</xdr:colOff>
                    <xdr:row>11</xdr:row>
                    <xdr:rowOff>66675</xdr:rowOff>
                  </from>
                  <to>
                    <xdr:col>7</xdr:col>
                    <xdr:colOff>190500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333375</xdr:colOff>
                    <xdr:row>11</xdr:row>
                    <xdr:rowOff>66675</xdr:rowOff>
                  </from>
                  <to>
                    <xdr:col>2</xdr:col>
                    <xdr:colOff>171450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Option Button 9">
              <controlPr defaultSize="0" autoFill="0" autoLine="0" autoPict="0">
                <anchor moveWithCells="1">
                  <from>
                    <xdr:col>7</xdr:col>
                    <xdr:colOff>428625</xdr:colOff>
                    <xdr:row>12</xdr:row>
                    <xdr:rowOff>152400</xdr:rowOff>
                  </from>
                  <to>
                    <xdr:col>7</xdr:col>
                    <xdr:colOff>733425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Option Button 10">
              <controlPr defaultSize="0" autoFill="0" autoLine="0" autoPict="0">
                <anchor moveWithCells="1">
                  <from>
                    <xdr:col>7</xdr:col>
                    <xdr:colOff>428625</xdr:colOff>
                    <xdr:row>13</xdr:row>
                    <xdr:rowOff>114300</xdr:rowOff>
                  </from>
                  <to>
                    <xdr:col>7</xdr:col>
                    <xdr:colOff>733425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Option Button 11">
              <controlPr defaultSize="0" autoFill="0" autoLine="0" autoPict="0">
                <anchor moveWithCells="1">
                  <from>
                    <xdr:col>7</xdr:col>
                    <xdr:colOff>428625</xdr:colOff>
                    <xdr:row>14</xdr:row>
                    <xdr:rowOff>114300</xdr:rowOff>
                  </from>
                  <to>
                    <xdr:col>7</xdr:col>
                    <xdr:colOff>733425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5</xdr:col>
                    <xdr:colOff>0</xdr:colOff>
                    <xdr:row>90</xdr:row>
                    <xdr:rowOff>114300</xdr:rowOff>
                  </from>
                  <to>
                    <xdr:col>5</xdr:col>
                    <xdr:colOff>304800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7</xdr:col>
                    <xdr:colOff>200025</xdr:colOff>
                    <xdr:row>90</xdr:row>
                    <xdr:rowOff>114300</xdr:rowOff>
                  </from>
                  <to>
                    <xdr:col>7</xdr:col>
                    <xdr:colOff>504825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5</xdr:col>
                    <xdr:colOff>0</xdr:colOff>
                    <xdr:row>90</xdr:row>
                    <xdr:rowOff>114300</xdr:rowOff>
                  </from>
                  <to>
                    <xdr:col>5</xdr:col>
                    <xdr:colOff>304800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7</xdr:col>
                    <xdr:colOff>200025</xdr:colOff>
                    <xdr:row>90</xdr:row>
                    <xdr:rowOff>114300</xdr:rowOff>
                  </from>
                  <to>
                    <xdr:col>7</xdr:col>
                    <xdr:colOff>504825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8</xdr:col>
                    <xdr:colOff>552450</xdr:colOff>
                    <xdr:row>22</xdr:row>
                    <xdr:rowOff>66675</xdr:rowOff>
                  </from>
                  <to>
                    <xdr:col>9</xdr:col>
                    <xdr:colOff>28575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8</xdr:col>
                    <xdr:colOff>552450</xdr:colOff>
                    <xdr:row>23</xdr:row>
                    <xdr:rowOff>133350</xdr:rowOff>
                  </from>
                  <to>
                    <xdr:col>9</xdr:col>
                    <xdr:colOff>28575</xdr:colOff>
                    <xdr:row>25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44"/>
  <sheetViews>
    <sheetView workbookViewId="0">
      <selection activeCell="C6" sqref="C6"/>
    </sheetView>
  </sheetViews>
  <sheetFormatPr baseColWidth="10" defaultColWidth="11.42578125" defaultRowHeight="15" x14ac:dyDescent="0.25"/>
  <cols>
    <col min="1" max="1" width="15.85546875" style="1" customWidth="1"/>
    <col min="2" max="2" width="30.7109375" style="1" customWidth="1"/>
    <col min="3" max="3" width="22.7109375" style="1" customWidth="1"/>
    <col min="4" max="4" width="11.42578125" style="1"/>
    <col min="5" max="5" width="9.7109375" style="1" customWidth="1"/>
    <col min="6" max="6" width="24.28515625" style="1" customWidth="1"/>
    <col min="7" max="16384" width="11.42578125" style="1"/>
  </cols>
  <sheetData>
    <row r="2" spans="1:8" ht="22.5" x14ac:dyDescent="0.3">
      <c r="A2" s="7" t="s">
        <v>10</v>
      </c>
    </row>
    <row r="3" spans="1:8" x14ac:dyDescent="0.25">
      <c r="A3" s="8"/>
      <c r="B3" s="8"/>
      <c r="C3" s="8"/>
      <c r="D3" s="8"/>
      <c r="E3" s="8"/>
      <c r="F3" s="8"/>
    </row>
    <row r="5" spans="1:8" ht="30.95" customHeight="1" x14ac:dyDescent="0.25">
      <c r="A5" s="9" t="s">
        <v>11</v>
      </c>
      <c r="B5" s="9" t="s">
        <v>30</v>
      </c>
      <c r="C5" s="9" t="s">
        <v>34</v>
      </c>
      <c r="D5" s="9" t="s">
        <v>39</v>
      </c>
      <c r="E5" s="9" t="s">
        <v>87</v>
      </c>
      <c r="F5" s="9" t="s">
        <v>104</v>
      </c>
      <c r="G5" s="9" t="s">
        <v>152</v>
      </c>
      <c r="H5" s="9" t="s">
        <v>154</v>
      </c>
    </row>
    <row r="6" spans="1:8" x14ac:dyDescent="0.25">
      <c r="A6" s="16" t="s">
        <v>8</v>
      </c>
      <c r="B6" s="114" t="s">
        <v>143</v>
      </c>
      <c r="C6" s="15" t="s">
        <v>35</v>
      </c>
      <c r="D6" s="15" t="s">
        <v>44</v>
      </c>
      <c r="E6" s="15" t="s">
        <v>88</v>
      </c>
      <c r="F6" s="16" t="s">
        <v>105</v>
      </c>
      <c r="G6" s="122" t="s">
        <v>153</v>
      </c>
      <c r="H6" s="15">
        <v>1</v>
      </c>
    </row>
    <row r="7" spans="1:8" x14ac:dyDescent="0.25">
      <c r="A7" s="16" t="s">
        <v>12</v>
      </c>
      <c r="B7" s="115" t="s">
        <v>103</v>
      </c>
      <c r="C7" s="16" t="s">
        <v>36</v>
      </c>
      <c r="D7" s="16" t="s">
        <v>43</v>
      </c>
      <c r="E7" s="16" t="s">
        <v>89</v>
      </c>
      <c r="F7" s="16" t="s">
        <v>106</v>
      </c>
      <c r="H7" s="16">
        <v>2</v>
      </c>
    </row>
    <row r="8" spans="1:8" x14ac:dyDescent="0.25">
      <c r="A8" s="16" t="s">
        <v>13</v>
      </c>
      <c r="B8" s="115" t="s">
        <v>144</v>
      </c>
      <c r="D8" s="16" t="s">
        <v>42</v>
      </c>
      <c r="E8" s="16" t="s">
        <v>90</v>
      </c>
      <c r="F8" s="16" t="s">
        <v>107</v>
      </c>
      <c r="H8" s="16">
        <v>3</v>
      </c>
    </row>
    <row r="9" spans="1:8" x14ac:dyDescent="0.25">
      <c r="A9" s="16" t="s">
        <v>14</v>
      </c>
      <c r="B9" s="115" t="s">
        <v>145</v>
      </c>
      <c r="D9" s="16" t="s">
        <v>45</v>
      </c>
      <c r="F9" s="16" t="s">
        <v>108</v>
      </c>
      <c r="H9" s="16">
        <v>4</v>
      </c>
    </row>
    <row r="10" spans="1:8" x14ac:dyDescent="0.25">
      <c r="A10" s="16" t="s">
        <v>15</v>
      </c>
      <c r="B10" s="115" t="s">
        <v>31</v>
      </c>
      <c r="D10" s="16" t="s">
        <v>47</v>
      </c>
      <c r="F10" s="16" t="s">
        <v>109</v>
      </c>
      <c r="H10" s="16">
        <v>5</v>
      </c>
    </row>
    <row r="11" spans="1:8" x14ac:dyDescent="0.25">
      <c r="A11" s="16" t="s">
        <v>16</v>
      </c>
      <c r="D11" s="16" t="s">
        <v>46</v>
      </c>
      <c r="F11" s="16" t="s">
        <v>110</v>
      </c>
      <c r="H11" s="16">
        <v>6</v>
      </c>
    </row>
    <row r="12" spans="1:8" x14ac:dyDescent="0.25">
      <c r="A12" s="16" t="s">
        <v>17</v>
      </c>
      <c r="D12" s="16" t="s">
        <v>48</v>
      </c>
      <c r="F12" s="16" t="s">
        <v>111</v>
      </c>
      <c r="H12" s="16">
        <v>7</v>
      </c>
    </row>
    <row r="13" spans="1:8" x14ac:dyDescent="0.25">
      <c r="A13" s="16" t="s">
        <v>18</v>
      </c>
      <c r="D13" s="16" t="s">
        <v>49</v>
      </c>
      <c r="F13" s="16" t="s">
        <v>112</v>
      </c>
      <c r="H13" s="16">
        <v>8</v>
      </c>
    </row>
    <row r="14" spans="1:8" x14ac:dyDescent="0.25">
      <c r="A14" s="16" t="s">
        <v>19</v>
      </c>
      <c r="D14" s="17" t="s">
        <v>50</v>
      </c>
      <c r="H14" s="17">
        <v>9</v>
      </c>
    </row>
    <row r="15" spans="1:8" x14ac:dyDescent="0.25">
      <c r="A15" s="16" t="s">
        <v>20</v>
      </c>
      <c r="D15" s="16" t="s">
        <v>51</v>
      </c>
      <c r="H15" s="16">
        <v>10</v>
      </c>
    </row>
    <row r="16" spans="1:8" x14ac:dyDescent="0.25">
      <c r="A16" s="16" t="s">
        <v>21</v>
      </c>
      <c r="D16" s="16" t="s">
        <v>52</v>
      </c>
      <c r="H16" s="16">
        <v>11</v>
      </c>
    </row>
    <row r="17" spans="1:8" x14ac:dyDescent="0.25">
      <c r="A17" s="16" t="s">
        <v>22</v>
      </c>
      <c r="D17" s="16" t="s">
        <v>53</v>
      </c>
      <c r="H17" s="16">
        <v>12</v>
      </c>
    </row>
    <row r="18" spans="1:8" x14ac:dyDescent="0.25">
      <c r="A18" s="16" t="s">
        <v>23</v>
      </c>
      <c r="D18" s="16" t="s">
        <v>54</v>
      </c>
    </row>
    <row r="19" spans="1:8" x14ac:dyDescent="0.25">
      <c r="A19" s="16" t="s">
        <v>24</v>
      </c>
      <c r="D19" s="16" t="s">
        <v>55</v>
      </c>
    </row>
    <row r="20" spans="1:8" x14ac:dyDescent="0.25">
      <c r="A20" s="16" t="s">
        <v>25</v>
      </c>
      <c r="D20" s="16" t="s">
        <v>44</v>
      </c>
    </row>
    <row r="21" spans="1:8" x14ac:dyDescent="0.25">
      <c r="A21" s="16" t="s">
        <v>26</v>
      </c>
      <c r="D21" s="16" t="s">
        <v>56</v>
      </c>
    </row>
    <row r="22" spans="1:8" x14ac:dyDescent="0.25">
      <c r="D22" s="16" t="s">
        <v>57</v>
      </c>
    </row>
    <row r="23" spans="1:8" x14ac:dyDescent="0.25">
      <c r="D23" s="16" t="s">
        <v>58</v>
      </c>
    </row>
    <row r="24" spans="1:8" x14ac:dyDescent="0.25">
      <c r="D24" s="16" t="s">
        <v>59</v>
      </c>
    </row>
    <row r="25" spans="1:8" x14ac:dyDescent="0.25">
      <c r="D25" s="16" t="s">
        <v>60</v>
      </c>
    </row>
    <row r="26" spans="1:8" x14ac:dyDescent="0.25">
      <c r="D26" s="16" t="s">
        <v>61</v>
      </c>
    </row>
    <row r="27" spans="1:8" x14ac:dyDescent="0.25">
      <c r="D27" s="16" t="s">
        <v>62</v>
      </c>
    </row>
    <row r="28" spans="1:8" x14ac:dyDescent="0.25">
      <c r="D28" s="16" t="s">
        <v>63</v>
      </c>
    </row>
    <row r="29" spans="1:8" x14ac:dyDescent="0.25">
      <c r="D29" s="16" t="s">
        <v>64</v>
      </c>
    </row>
    <row r="30" spans="1:8" x14ac:dyDescent="0.25">
      <c r="D30" s="16" t="s">
        <v>65</v>
      </c>
    </row>
    <row r="31" spans="1:8" x14ac:dyDescent="0.25">
      <c r="D31" s="16" t="s">
        <v>66</v>
      </c>
    </row>
    <row r="32" spans="1:8" x14ac:dyDescent="0.25">
      <c r="D32" s="16" t="s">
        <v>43</v>
      </c>
    </row>
    <row r="33" spans="4:4" x14ac:dyDescent="0.25">
      <c r="D33" s="16" t="s">
        <v>67</v>
      </c>
    </row>
    <row r="34" spans="4:4" x14ac:dyDescent="0.25">
      <c r="D34" s="16" t="s">
        <v>68</v>
      </c>
    </row>
    <row r="35" spans="4:4" x14ac:dyDescent="0.25">
      <c r="D35" s="16" t="s">
        <v>69</v>
      </c>
    </row>
    <row r="36" spans="4:4" x14ac:dyDescent="0.25">
      <c r="D36" s="16" t="s">
        <v>70</v>
      </c>
    </row>
    <row r="37" spans="4:4" x14ac:dyDescent="0.25">
      <c r="D37" s="16" t="s">
        <v>71</v>
      </c>
    </row>
    <row r="38" spans="4:4" x14ac:dyDescent="0.25">
      <c r="D38" s="16" t="s">
        <v>72</v>
      </c>
    </row>
    <row r="39" spans="4:4" x14ac:dyDescent="0.25">
      <c r="D39" s="16" t="s">
        <v>73</v>
      </c>
    </row>
    <row r="40" spans="4:4" x14ac:dyDescent="0.25">
      <c r="D40" s="16" t="s">
        <v>74</v>
      </c>
    </row>
    <row r="41" spans="4:4" x14ac:dyDescent="0.25">
      <c r="D41" s="16" t="s">
        <v>75</v>
      </c>
    </row>
    <row r="42" spans="4:4" x14ac:dyDescent="0.25">
      <c r="D42" s="16" t="s">
        <v>76</v>
      </c>
    </row>
    <row r="43" spans="4:4" x14ac:dyDescent="0.25">
      <c r="D43" s="16" t="s">
        <v>77</v>
      </c>
    </row>
    <row r="44" spans="4:4" x14ac:dyDescent="0.25">
      <c r="D44" s="1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11</vt:i4>
      </vt:variant>
    </vt:vector>
  </HeadingPairs>
  <TitlesOfParts>
    <vt:vector size="14" baseType="lpstr">
      <vt:lpstr>ABM Nuevos Negocios</vt:lpstr>
      <vt:lpstr>e-mail Form Nuevos Negocios</vt:lpstr>
      <vt:lpstr>Tablas</vt:lpstr>
      <vt:lpstr>'ABM Nuevos Negocios'!Área_de_impresión</vt:lpstr>
      <vt:lpstr>'e-mail Form Nuevos Negocios'!Área_de_impresión</vt:lpstr>
      <vt:lpstr>as</vt:lpstr>
      <vt:lpstr>Cuotas</vt:lpstr>
      <vt:lpstr>Estado_Contractual</vt:lpstr>
      <vt:lpstr>Modalidad</vt:lpstr>
      <vt:lpstr>Moneda</vt:lpstr>
      <vt:lpstr>País</vt:lpstr>
      <vt:lpstr>Producto</vt:lpstr>
      <vt:lpstr>SiNo</vt:lpstr>
      <vt:lpstr>Vigencia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aforestiero</dc:creator>
  <cp:lastModifiedBy>csst.soporte</cp:lastModifiedBy>
  <cp:lastPrinted>2012-12-11T12:37:42Z</cp:lastPrinted>
  <dcterms:created xsi:type="dcterms:W3CDTF">2010-03-29T20:55:58Z</dcterms:created>
  <dcterms:modified xsi:type="dcterms:W3CDTF">2025-10-25T01:35:02Z</dcterms:modified>
</cp:coreProperties>
</file>