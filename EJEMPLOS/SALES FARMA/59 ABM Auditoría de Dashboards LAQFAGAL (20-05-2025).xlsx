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80A75813-DD26-418D-BD2F-2B81F836E6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Prescription Audits" sheetId="7" r:id="rId1"/>
    <sheet name="e-mail Form Audits" sheetId="8" r:id="rId2"/>
    <sheet name="Tablas" sheetId="5" state="hidden" r:id="rId3"/>
  </sheets>
  <definedNames>
    <definedName name="_xlnm.Print_Area" localSheetId="0">'ABM Prescription Audits'!$A$1:$T$93</definedName>
    <definedName name="_xlnm.Print_Area" localSheetId="1">'e-mail Form Audits'!$A$1:$N$82</definedName>
    <definedName name="Estado_Contractual">Tablas!$C$6:$C$7</definedName>
    <definedName name="Moneda">Tablas!$E$6:$E$8</definedName>
    <definedName name="País">Tablas!$A$6:$A$21</definedName>
    <definedName name="Producto">Tablas!$B$6:$B$23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8" l="1"/>
  <c r="K55" i="8"/>
  <c r="I55" i="8"/>
  <c r="H55" i="8"/>
  <c r="R66" i="7"/>
  <c r="Q66" i="7"/>
  <c r="M66" i="7"/>
  <c r="L66" i="7"/>
  <c r="H59" i="7"/>
  <c r="G59" i="7"/>
  <c r="G64" i="7" s="1"/>
  <c r="G66" i="7" s="1"/>
  <c r="A63" i="8"/>
  <c r="A62" i="8" l="1"/>
  <c r="I51" i="8" l="1"/>
  <c r="F51" i="8"/>
  <c r="M62" i="7"/>
  <c r="H62" i="7"/>
  <c r="R61" i="7"/>
  <c r="R62" i="7" s="1"/>
  <c r="P61" i="7"/>
  <c r="O61" i="7"/>
  <c r="L61" i="7"/>
  <c r="G61" i="7"/>
  <c r="G62" i="7" s="1"/>
  <c r="M59" i="7"/>
  <c r="R58" i="7"/>
  <c r="R59" i="7" s="1"/>
  <c r="S59" i="7" s="1"/>
  <c r="P58" i="7"/>
  <c r="O58" i="7"/>
  <c r="L59" i="7"/>
  <c r="E51" i="8"/>
  <c r="I53" i="8" l="1"/>
  <c r="S62" i="7"/>
  <c r="S61" i="7"/>
  <c r="L51" i="8"/>
  <c r="L53" i="8" s="1"/>
  <c r="Q58" i="7"/>
  <c r="Q61" i="7"/>
  <c r="Q62" i="7" s="1"/>
  <c r="H51" i="8"/>
  <c r="M51" i="8"/>
  <c r="L62" i="7"/>
  <c r="S58" i="7"/>
  <c r="H53" i="8" l="1"/>
  <c r="Q59" i="7"/>
  <c r="K51" i="8"/>
  <c r="K53" i="8" s="1"/>
  <c r="I26" i="8"/>
  <c r="M45" i="7"/>
  <c r="G49" i="7" l="1"/>
  <c r="H49" i="7" s="1"/>
  <c r="H50" i="7" s="1"/>
  <c r="G48" i="7"/>
  <c r="G46" i="7"/>
  <c r="H45" i="7"/>
  <c r="H46" i="7" s="1"/>
  <c r="G42" i="7"/>
  <c r="H42" i="7" s="1"/>
  <c r="G41" i="7"/>
  <c r="H41" i="7" s="1"/>
  <c r="G40" i="7"/>
  <c r="H40" i="7" s="1"/>
  <c r="L49" i="7"/>
  <c r="M49" i="7" s="1"/>
  <c r="L48" i="7"/>
  <c r="L46" i="7"/>
  <c r="L42" i="7"/>
  <c r="M42" i="7" s="1"/>
  <c r="L41" i="7"/>
  <c r="M41" i="7" s="1"/>
  <c r="L40" i="7"/>
  <c r="M40" i="7" s="1"/>
  <c r="O42" i="7"/>
  <c r="P42" i="7"/>
  <c r="P55" i="7"/>
  <c r="O55" i="7"/>
  <c r="P52" i="7"/>
  <c r="O52" i="7"/>
  <c r="P49" i="7"/>
  <c r="O49" i="7"/>
  <c r="R48" i="7"/>
  <c r="S48" i="7" s="1"/>
  <c r="P48" i="7"/>
  <c r="O48" i="7"/>
  <c r="P45" i="7"/>
  <c r="O45" i="7"/>
  <c r="P41" i="7"/>
  <c r="O41" i="7"/>
  <c r="P40" i="7"/>
  <c r="O40" i="7"/>
  <c r="R37" i="7"/>
  <c r="S37" i="7" s="1"/>
  <c r="O37" i="7"/>
  <c r="P37" i="7"/>
  <c r="C32" i="8"/>
  <c r="L26" i="8"/>
  <c r="K21" i="8"/>
  <c r="G50" i="7" l="1"/>
  <c r="H43" i="7"/>
  <c r="G43" i="7"/>
  <c r="M46" i="7"/>
  <c r="E41" i="8"/>
  <c r="Q48" i="7"/>
  <c r="M50" i="7"/>
  <c r="L43" i="7"/>
  <c r="M43" i="7"/>
  <c r="L50" i="7"/>
  <c r="H43" i="8" s="1"/>
  <c r="R42" i="7"/>
  <c r="S42" i="7" s="1"/>
  <c r="Q42" i="7"/>
  <c r="R38" i="7"/>
  <c r="M38" i="7"/>
  <c r="G55" i="7"/>
  <c r="H55" i="7" s="1"/>
  <c r="R55" i="7" s="1"/>
  <c r="S55" i="7" s="1"/>
  <c r="G52" i="7"/>
  <c r="H52" i="7" s="1"/>
  <c r="L55" i="7"/>
  <c r="L56" i="7" s="1"/>
  <c r="L52" i="7"/>
  <c r="M52" i="7" s="1"/>
  <c r="L37" i="7"/>
  <c r="G37" i="7"/>
  <c r="I37" i="8" l="1"/>
  <c r="H47" i="8"/>
  <c r="H49" i="8"/>
  <c r="R45" i="7"/>
  <c r="S45" i="7" s="1"/>
  <c r="H41" i="8"/>
  <c r="Q45" i="7"/>
  <c r="Q46" i="7" s="1"/>
  <c r="K41" i="8" s="1"/>
  <c r="G56" i="7"/>
  <c r="Q55" i="7"/>
  <c r="Q56" i="7" s="1"/>
  <c r="L53" i="7"/>
  <c r="H45" i="8" s="1"/>
  <c r="R52" i="7"/>
  <c r="S52" i="7" s="1"/>
  <c r="H53" i="7"/>
  <c r="F45" i="8" s="1"/>
  <c r="G53" i="7"/>
  <c r="E45" i="8" s="1"/>
  <c r="Q52" i="7"/>
  <c r="Q49" i="7"/>
  <c r="R49" i="7"/>
  <c r="S49" i="7" s="1"/>
  <c r="I39" i="8"/>
  <c r="R41" i="7"/>
  <c r="S41" i="7" s="1"/>
  <c r="Q40" i="7"/>
  <c r="Q41" i="7"/>
  <c r="G38" i="7"/>
  <c r="Q37" i="7"/>
  <c r="L38" i="7"/>
  <c r="Q38" i="7"/>
  <c r="K37" i="8" s="1"/>
  <c r="E43" i="8"/>
  <c r="I41" i="8"/>
  <c r="M56" i="7"/>
  <c r="I43" i="8"/>
  <c r="F43" i="8"/>
  <c r="H39" i="8"/>
  <c r="Q53" i="7"/>
  <c r="K45" i="8" s="1"/>
  <c r="H37" i="8" l="1"/>
  <c r="L64" i="7"/>
  <c r="E37" i="8"/>
  <c r="I47" i="8"/>
  <c r="I49" i="8"/>
  <c r="K47" i="8"/>
  <c r="K49" i="8"/>
  <c r="E47" i="8"/>
  <c r="E49" i="8"/>
  <c r="Q43" i="7"/>
  <c r="Q64" i="7" s="1"/>
  <c r="F39" i="8"/>
  <c r="R40" i="7"/>
  <c r="E39" i="8"/>
  <c r="R50" i="7"/>
  <c r="S50" i="7" s="1"/>
  <c r="Q50" i="7"/>
  <c r="K43" i="8" s="1"/>
  <c r="M53" i="7"/>
  <c r="M64" i="7" s="1"/>
  <c r="H38" i="7"/>
  <c r="F41" i="8"/>
  <c r="H56" i="7"/>
  <c r="E53" i="8" l="1"/>
  <c r="F47" i="8"/>
  <c r="F49" i="8"/>
  <c r="S38" i="7"/>
  <c r="H64" i="7"/>
  <c r="S40" i="7"/>
  <c r="R43" i="7"/>
  <c r="E55" i="8"/>
  <c r="M67" i="7"/>
  <c r="I45" i="8"/>
  <c r="I56" i="8" s="1"/>
  <c r="F37" i="8"/>
  <c r="F53" i="8" s="1"/>
  <c r="F56" i="8" s="1"/>
  <c r="L43" i="8"/>
  <c r="M43" i="8" s="1"/>
  <c r="K39" i="8"/>
  <c r="R53" i="7"/>
  <c r="R56" i="7"/>
  <c r="R46" i="7"/>
  <c r="S46" i="7" s="1"/>
  <c r="H67" i="7" l="1"/>
  <c r="H66" i="7"/>
  <c r="S56" i="7"/>
  <c r="L49" i="8"/>
  <c r="M49" i="8" s="1"/>
  <c r="S43" i="7"/>
  <c r="R64" i="7"/>
  <c r="L45" i="8"/>
  <c r="M45" i="8" s="1"/>
  <c r="S53" i="7"/>
  <c r="L39" i="8"/>
  <c r="M39" i="8" s="1"/>
  <c r="L41" i="8"/>
  <c r="M41" i="8" s="1"/>
  <c r="F55" i="8"/>
  <c r="L37" i="8"/>
  <c r="L47" i="8"/>
  <c r="M47" i="8" s="1"/>
  <c r="S64" i="7" l="1"/>
  <c r="M37" i="8"/>
  <c r="S66" i="7"/>
  <c r="M53" i="8" l="1"/>
  <c r="M55" i="8"/>
</calcChain>
</file>

<file path=xl/sharedStrings.xml><?xml version="1.0" encoding="utf-8"?>
<sst xmlns="http://schemas.openxmlformats.org/spreadsheetml/2006/main" count="232" uniqueCount="161">
  <si>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</si>
  <si>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</si>
  <si>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</si>
  <si>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</si>
  <si>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</si>
  <si>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</si>
  <si>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</si>
  <si>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</si>
  <si>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</si>
  <si>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</si>
  <si>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</si>
  <si>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</si>
  <si>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</si>
  <si>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</si>
  <si>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</si>
  <si>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</si>
  <si>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</si>
  <si>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</si>
  <si>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</si>
  <si>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</si>
  <si>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</si>
  <si>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</si>
  <si>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</si>
  <si>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</si>
  <si>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</si>
  <si>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</si>
  <si>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</si>
  <si>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</si>
  <si>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</si>
  <si>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</si>
  <si>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</si>
  <si>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Regional Analyzer</t>
  </si>
  <si>
    <t>Recepta</t>
  </si>
  <si>
    <t>Focus PPC</t>
  </si>
  <si>
    <t>Estudio_Especial</t>
  </si>
  <si>
    <t>Quick Data</t>
  </si>
  <si>
    <t>Hospital Report</t>
  </si>
  <si>
    <t>Close-Up Market</t>
  </si>
  <si>
    <t>Close-Up Targeting</t>
  </si>
  <si>
    <t>Close-Up Rep's</t>
  </si>
  <si>
    <t>Integrador Pharma Mix</t>
  </si>
  <si>
    <t>Integrador Analyzer</t>
  </si>
  <si>
    <t>Data Mart O.S.</t>
  </si>
  <si>
    <t>Otros</t>
  </si>
  <si>
    <t>Pharma Mix</t>
  </si>
  <si>
    <t>Pharma Mix Focus</t>
  </si>
  <si>
    <t>Close-Up Analyzer</t>
  </si>
  <si>
    <t>Close-Up Analyzer Reps</t>
  </si>
  <si>
    <t>Prescriber's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</si>
  <si>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</si>
  <si>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</si>
  <si>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</si>
  <si>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</si>
  <si>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</si>
  <si>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</si>
  <si>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</si>
  <si>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</si>
  <si>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</si>
  <si>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</si>
  <si>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</si>
  <si>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</si>
  <si>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</si>
  <si>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</si>
  <si>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</si>
  <si>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</si>
  <si>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</si>
  <si>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</si>
  <si>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</si>
  <si>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</si>
  <si>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</si>
  <si>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</si>
  <si>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</si>
  <si>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</si>
  <si>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</si>
  <si>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</si>
  <si>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</si>
  <si>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</si>
  <si>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</si>
  <si>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</si>
  <si>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</si>
  <si>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</si>
  <si>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</si>
  <si>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</si>
  <si>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</si>
  <si>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</si>
  <si>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</si>
  <si>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</si>
  <si>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</si>
  <si>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</si>
  <si>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</si>
  <si>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</si>
  <si>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</si>
  <si>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</si>
  <si>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</si>
  <si>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</si>
  <si>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Mercados</t>
  </si>
  <si>
    <t>Regiones</t>
  </si>
  <si>
    <t>Rep's</t>
  </si>
  <si>
    <t>Int. Pharma Mix</t>
  </si>
  <si>
    <t>Int. Analyzer</t>
  </si>
  <si>
    <t>Integrador</t>
  </si>
  <si>
    <t>Cant.</t>
  </si>
  <si>
    <t>Hosting + Proces.</t>
  </si>
  <si>
    <t>Total 
Base</t>
  </si>
  <si>
    <t>Pcio. 
Unit.</t>
  </si>
  <si>
    <t>Total Neto</t>
  </si>
  <si>
    <t>Est. Esp. / Otros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</si>
  <si>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</si>
  <si>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</si>
  <si>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</si>
  <si>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</si>
  <si>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</si>
  <si>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</si>
  <si>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</si>
  <si>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</si>
  <si>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</si>
  <si>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</si>
  <si>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</si>
  <si>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</si>
  <si>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</si>
  <si>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</si>
  <si>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</si>
  <si>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</si>
  <si>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</si>
  <si>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</si>
  <si>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r>
      <t xml:space="preserve">Alta de cliente </t>
    </r>
    <r>
      <rPr>
        <i/>
        <sz val="9"/>
        <color theme="0" tint="-0.499984740745262"/>
        <rFont val="Arial"/>
        <family val="2"/>
      </rPr>
      <t>/ High client</t>
    </r>
  </si>
  <si>
    <t>Total 
Neto</t>
  </si>
  <si>
    <t>Responsable de cuenta:</t>
  </si>
  <si>
    <t>Producto:</t>
  </si>
  <si>
    <t>Cliente:</t>
  </si>
  <si>
    <r>
      <t>Fecha de Contrato</t>
    </r>
    <r>
      <rPr>
        <b/>
        <i/>
        <sz val="9"/>
        <color theme="1"/>
        <rFont val="Arial"/>
        <family val="2"/>
      </rPr>
      <t>:</t>
    </r>
  </si>
  <si>
    <t>Vigencia:</t>
  </si>
  <si>
    <t>País: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</si>
  <si>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</si>
  <si>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Fecha:</t>
  </si>
  <si>
    <t>Cliente Nuevo</t>
  </si>
  <si>
    <t>Cliente Existente</t>
  </si>
  <si>
    <t>Modificación - Addendum</t>
  </si>
  <si>
    <t>Baja-Cancelación</t>
  </si>
  <si>
    <t>Estado:</t>
  </si>
  <si>
    <t>Edición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</si>
  <si>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</si>
  <si>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</si>
  <si>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</si>
  <si>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</si>
  <si>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</si>
  <si>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</si>
  <si>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</si>
  <si>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</si>
  <si>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</si>
  <si>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</si>
  <si>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Mercados Adicionales</t>
  </si>
  <si>
    <t xml:space="preserve">Contrato Anterior </t>
  </si>
  <si>
    <t xml:space="preserve">Contrato Actual </t>
  </si>
  <si>
    <t xml:space="preserve">Contrato Anterior 
</t>
  </si>
  <si>
    <t xml:space="preserve">Contrato Actual
</t>
  </si>
  <si>
    <t>Dashboard Analyzer</t>
  </si>
  <si>
    <t>Dashboard Geo-Analyzer</t>
  </si>
  <si>
    <t>BOLIVIA</t>
  </si>
  <si>
    <t>NUEVO CLIENTE RETAIL (DASHBOARDS)</t>
  </si>
  <si>
    <t>LAQFAGAL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</si>
</sst>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#,##0.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b/>
      <sz val="9"/>
      <color theme="1" tint="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12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vertical="center"/>
    </xf>
    <xf numFmtId="0" fontId="16" fillId="2" borderId="9" xfId="0" applyFont="1" applyFill="1" applyBorder="1"/>
    <xf numFmtId="0" fontId="16" fillId="2" borderId="10" xfId="0" applyFont="1" applyFill="1" applyBorder="1"/>
    <xf numFmtId="0" fontId="6" fillId="3" borderId="10" xfId="0" applyFont="1" applyFill="1" applyBorder="1" applyAlignment="1">
      <alignment vertical="center"/>
    </xf>
    <xf numFmtId="0" fontId="16" fillId="3" borderId="10" xfId="0" applyFont="1" applyFill="1" applyBorder="1"/>
    <xf numFmtId="164" fontId="16" fillId="2" borderId="9" xfId="0" applyNumberFormat="1" applyFont="1" applyFill="1" applyBorder="1"/>
    <xf numFmtId="164" fontId="6" fillId="3" borderId="10" xfId="0" applyNumberFormat="1" applyFont="1" applyFill="1" applyBorder="1"/>
    <xf numFmtId="164" fontId="16" fillId="2" borderId="10" xfId="0" applyNumberFormat="1" applyFont="1" applyFill="1" applyBorder="1"/>
    <xf numFmtId="0" fontId="6" fillId="3" borderId="10" xfId="0" applyFont="1" applyFill="1" applyBorder="1"/>
    <xf numFmtId="164" fontId="6" fillId="8" borderId="10" xfId="0" applyNumberFormat="1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6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16" fillId="2" borderId="0" xfId="0" applyNumberFormat="1" applyFont="1" applyFill="1"/>
    <xf numFmtId="164" fontId="6" fillId="2" borderId="0" xfId="0" applyNumberFormat="1" applyFont="1" applyFill="1"/>
    <xf numFmtId="0" fontId="27" fillId="2" borderId="0" xfId="0" applyFont="1" applyFill="1"/>
    <xf numFmtId="164" fontId="26" fillId="2" borderId="0" xfId="0" applyNumberFormat="1" applyFont="1" applyFill="1"/>
    <xf numFmtId="9" fontId="26" fillId="2" borderId="0" xfId="1" applyFont="1" applyFill="1" applyBorder="1"/>
    <xf numFmtId="9" fontId="26" fillId="2" borderId="0" xfId="0" applyNumberFormat="1" applyFont="1" applyFill="1"/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6" fillId="2" borderId="14" xfId="0" applyFont="1" applyFill="1" applyBorder="1"/>
    <xf numFmtId="0" fontId="26" fillId="2" borderId="15" xfId="0" applyFont="1" applyFill="1" applyBorder="1"/>
    <xf numFmtId="0" fontId="6" fillId="7" borderId="9" xfId="0" applyFont="1" applyFill="1" applyBorder="1"/>
    <xf numFmtId="164" fontId="6" fillId="7" borderId="9" xfId="0" applyNumberFormat="1" applyFont="1" applyFill="1" applyBorder="1"/>
    <xf numFmtId="164" fontId="6" fillId="6" borderId="9" xfId="0" applyNumberFormat="1" applyFont="1" applyFill="1" applyBorder="1"/>
    <xf numFmtId="0" fontId="6" fillId="7" borderId="16" xfId="0" applyFont="1" applyFill="1" applyBorder="1"/>
    <xf numFmtId="164" fontId="6" fillId="7" borderId="16" xfId="0" applyNumberFormat="1" applyFont="1" applyFill="1" applyBorder="1"/>
    <xf numFmtId="164" fontId="6" fillId="6" borderId="16" xfId="0" applyNumberFormat="1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2" borderId="0" xfId="0" applyFont="1" applyFill="1" applyAlignment="1">
      <alignment horizontal="right" vertical="center"/>
    </xf>
    <xf numFmtId="164" fontId="28" fillId="2" borderId="9" xfId="0" applyNumberFormat="1" applyFont="1" applyFill="1" applyBorder="1"/>
    <xf numFmtId="164" fontId="30" fillId="3" borderId="10" xfId="0" applyNumberFormat="1" applyFont="1" applyFill="1" applyBorder="1"/>
    <xf numFmtId="164" fontId="28" fillId="2" borderId="0" xfId="0" applyNumberFormat="1" applyFont="1" applyFill="1"/>
    <xf numFmtId="164" fontId="28" fillId="2" borderId="10" xfId="0" applyNumberFormat="1" applyFont="1" applyFill="1" applyBorder="1"/>
    <xf numFmtId="164" fontId="30" fillId="7" borderId="16" xfId="0" applyNumberFormat="1" applyFont="1" applyFill="1" applyBorder="1"/>
    <xf numFmtId="0" fontId="28" fillId="2" borderId="0" xfId="0" applyFont="1" applyFill="1"/>
    <xf numFmtId="164" fontId="30" fillId="7" borderId="9" xfId="0" applyNumberFormat="1" applyFont="1" applyFill="1" applyBorder="1"/>
    <xf numFmtId="164" fontId="30" fillId="3" borderId="9" xfId="0" applyNumberFormat="1" applyFont="1" applyFill="1" applyBorder="1"/>
    <xf numFmtId="164" fontId="30" fillId="2" borderId="0" xfId="0" applyNumberFormat="1" applyFont="1" applyFill="1"/>
    <xf numFmtId="0" fontId="1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0" fontId="16" fillId="2" borderId="9" xfId="0" applyFont="1" applyFill="1" applyBorder="1" applyAlignment="1">
      <alignment horizontal="left"/>
    </xf>
    <xf numFmtId="9" fontId="23" fillId="2" borderId="9" xfId="1" applyFont="1" applyFill="1" applyBorder="1" applyAlignment="1">
      <alignment horizontal="right"/>
    </xf>
    <xf numFmtId="9" fontId="24" fillId="8" borderId="10" xfId="1" applyFont="1" applyFill="1" applyBorder="1" applyAlignment="1">
      <alignment horizontal="right"/>
    </xf>
    <xf numFmtId="9" fontId="23" fillId="2" borderId="0" xfId="1" applyFont="1" applyFill="1" applyBorder="1" applyAlignment="1">
      <alignment horizontal="right"/>
    </xf>
    <xf numFmtId="9" fontId="23" fillId="2" borderId="10" xfId="1" applyFont="1" applyFill="1" applyBorder="1" applyAlignment="1">
      <alignment horizontal="right"/>
    </xf>
    <xf numFmtId="9" fontId="24" fillId="6" borderId="16" xfId="1" applyFont="1" applyFill="1" applyBorder="1" applyAlignment="1">
      <alignment horizontal="right"/>
    </xf>
    <xf numFmtId="9" fontId="24" fillId="6" borderId="9" xfId="1" applyFont="1" applyFill="1" applyBorder="1" applyAlignment="1">
      <alignment horizontal="right"/>
    </xf>
    <xf numFmtId="0" fontId="16" fillId="3" borderId="0" xfId="0" applyFont="1" applyFill="1" applyAlignment="1">
      <alignment vertical="center"/>
    </xf>
    <xf numFmtId="0" fontId="16" fillId="3" borderId="20" xfId="0" applyFont="1" applyFill="1" applyBorder="1" applyAlignment="1">
      <alignment vertical="center"/>
    </xf>
    <xf numFmtId="0" fontId="32" fillId="3" borderId="20" xfId="0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0" fontId="16" fillId="2" borderId="14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164" fontId="28" fillId="2" borderId="0" xfId="0" applyNumberFormat="1" applyFont="1" applyFill="1" applyProtection="1">
      <protection locked="0"/>
    </xf>
    <xf numFmtId="164" fontId="16" fillId="2" borderId="0" xfId="0" applyNumberFormat="1" applyFont="1" applyFill="1" applyProtection="1">
      <protection locked="0"/>
    </xf>
    <xf numFmtId="9" fontId="23" fillId="2" borderId="0" xfId="1" applyFont="1" applyFill="1" applyAlignment="1">
      <alignment horizontal="right"/>
    </xf>
    <xf numFmtId="0" fontId="16" fillId="2" borderId="15" xfId="0" applyFont="1" applyFill="1" applyBorder="1" applyProtection="1">
      <protection locked="0"/>
    </xf>
    <xf numFmtId="0" fontId="16" fillId="2" borderId="9" xfId="0" applyFont="1" applyFill="1" applyBorder="1" applyProtection="1">
      <protection locked="0"/>
    </xf>
    <xf numFmtId="164" fontId="28" fillId="2" borderId="9" xfId="0" applyNumberFormat="1" applyFont="1" applyFill="1" applyBorder="1" applyProtection="1">
      <protection locked="0"/>
    </xf>
    <xf numFmtId="164" fontId="16" fillId="2" borderId="9" xfId="0" applyNumberFormat="1" applyFont="1" applyFill="1" applyBorder="1" applyProtection="1">
      <protection locked="0"/>
    </xf>
    <xf numFmtId="0" fontId="16" fillId="3" borderId="0" xfId="0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center"/>
    </xf>
    <xf numFmtId="17" fontId="16" fillId="3" borderId="15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165" fontId="16" fillId="3" borderId="9" xfId="0" applyNumberFormat="1" applyFont="1" applyFill="1" applyBorder="1" applyAlignment="1">
      <alignment horizontal="center" vertical="center"/>
    </xf>
    <xf numFmtId="0" fontId="32" fillId="3" borderId="20" xfId="0" applyFon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 wrapText="1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</cellXfs>
  <cellStyles count="3">
    <cellStyle name="Normal" xfId="0" builtinId="0"/>
    <cellStyle name="Normal_Hoja2_1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checked="Checked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checked="Checked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Radio" checked="Checked" firstButton="1" lockText="1"/>
</file>

<file path=xl/ctrlProps/ctrlProp25.xml><?xml version="1.0" encoding="utf-8"?>
<formControlPr xmlns="http://schemas.microsoft.com/office/spreadsheetml/2009/9/main" objectType="Radio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checked="Checked" lockText="1"/>
</file>

<file path=xl/ctrlProps/ctrlProp32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1</xdr:row>
      <xdr:rowOff>95250</xdr:rowOff>
    </xdr:from>
    <xdr:to>
      <xdr:col>17</xdr:col>
      <xdr:colOff>202961</xdr:colOff>
      <xdr:row>4</xdr:row>
      <xdr:rowOff>285750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4075" y="152400"/>
          <a:ext cx="641111" cy="5619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11</xdr:row>
          <xdr:rowOff>95250</xdr:rowOff>
        </xdr:from>
        <xdr:to>
          <xdr:col>11</xdr:col>
          <xdr:colOff>390525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12</xdr:row>
          <xdr:rowOff>66675</xdr:rowOff>
        </xdr:from>
        <xdr:to>
          <xdr:col>11</xdr:col>
          <xdr:colOff>390525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13</xdr:row>
          <xdr:rowOff>66675</xdr:rowOff>
        </xdr:from>
        <xdr:to>
          <xdr:col>11</xdr:col>
          <xdr:colOff>390525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10</xdr:row>
          <xdr:rowOff>47625</xdr:rowOff>
        </xdr:from>
        <xdr:to>
          <xdr:col>11</xdr:col>
          <xdr:colOff>57150</xdr:colOff>
          <xdr:row>12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81</xdr:row>
          <xdr:rowOff>76200</xdr:rowOff>
        </xdr:from>
        <xdr:to>
          <xdr:col>6</xdr:col>
          <xdr:colOff>285750</xdr:colOff>
          <xdr:row>83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83</xdr:row>
          <xdr:rowOff>76200</xdr:rowOff>
        </xdr:from>
        <xdr:to>
          <xdr:col>6</xdr:col>
          <xdr:colOff>285750</xdr:colOff>
          <xdr:row>85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85</xdr:row>
          <xdr:rowOff>76200</xdr:rowOff>
        </xdr:from>
        <xdr:to>
          <xdr:col>6</xdr:col>
          <xdr:colOff>285750</xdr:colOff>
          <xdr:row>87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81</xdr:row>
          <xdr:rowOff>76200</xdr:rowOff>
        </xdr:from>
        <xdr:to>
          <xdr:col>10</xdr:col>
          <xdr:colOff>104775</xdr:colOff>
          <xdr:row>83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83</xdr:row>
          <xdr:rowOff>76200</xdr:rowOff>
        </xdr:from>
        <xdr:to>
          <xdr:col>10</xdr:col>
          <xdr:colOff>104775</xdr:colOff>
          <xdr:row>85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85</xdr:row>
          <xdr:rowOff>76200</xdr:rowOff>
        </xdr:from>
        <xdr:to>
          <xdr:col>10</xdr:col>
          <xdr:colOff>104775</xdr:colOff>
          <xdr:row>87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10</xdr:row>
          <xdr:rowOff>47625</xdr:rowOff>
        </xdr:from>
        <xdr:to>
          <xdr:col>2</xdr:col>
          <xdr:colOff>85725</xdr:colOff>
          <xdr:row>12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87</xdr:row>
          <xdr:rowOff>76200</xdr:rowOff>
        </xdr:from>
        <xdr:to>
          <xdr:col>6</xdr:col>
          <xdr:colOff>285750</xdr:colOff>
          <xdr:row>89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87</xdr:row>
          <xdr:rowOff>76200</xdr:rowOff>
        </xdr:from>
        <xdr:to>
          <xdr:col>10</xdr:col>
          <xdr:colOff>104775</xdr:colOff>
          <xdr:row>89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57150</xdr:rowOff>
        </xdr:from>
        <xdr:to>
          <xdr:col>15</xdr:col>
          <xdr:colOff>95250</xdr:colOff>
          <xdr:row>23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95250</xdr:rowOff>
        </xdr:from>
        <xdr:to>
          <xdr:col>15</xdr:col>
          <xdr:colOff>95250</xdr:colOff>
          <xdr:row>24</xdr:row>
          <xdr:rowOff>28575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2</xdr:row>
      <xdr:rowOff>66675</xdr:rowOff>
    </xdr:from>
    <xdr:to>
      <xdr:col>12</xdr:col>
      <xdr:colOff>364886</xdr:colOff>
      <xdr:row>5</xdr:row>
      <xdr:rowOff>47625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5400" y="247650"/>
          <a:ext cx="641111" cy="5619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</xdr:row>
          <xdr:rowOff>76200</xdr:rowOff>
        </xdr:from>
        <xdr:to>
          <xdr:col>5</xdr:col>
          <xdr:colOff>209550</xdr:colOff>
          <xdr:row>72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76200</xdr:rowOff>
        </xdr:from>
        <xdr:to>
          <xdr:col>5</xdr:col>
          <xdr:colOff>209550</xdr:colOff>
          <xdr:row>74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</xdr:row>
          <xdr:rowOff>76200</xdr:rowOff>
        </xdr:from>
        <xdr:to>
          <xdr:col>5</xdr:col>
          <xdr:colOff>209550</xdr:colOff>
          <xdr:row>76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70</xdr:row>
          <xdr:rowOff>76200</xdr:rowOff>
        </xdr:from>
        <xdr:to>
          <xdr:col>7</xdr:col>
          <xdr:colOff>333375</xdr:colOff>
          <xdr:row>72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72</xdr:row>
          <xdr:rowOff>76200</xdr:rowOff>
        </xdr:from>
        <xdr:to>
          <xdr:col>7</xdr:col>
          <xdr:colOff>333375</xdr:colOff>
          <xdr:row>74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74</xdr:row>
          <xdr:rowOff>76200</xdr:rowOff>
        </xdr:from>
        <xdr:to>
          <xdr:col>7</xdr:col>
          <xdr:colOff>333375</xdr:colOff>
          <xdr:row>76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47625</xdr:rowOff>
        </xdr:from>
        <xdr:to>
          <xdr:col>7</xdr:col>
          <xdr:colOff>133350</xdr:colOff>
          <xdr:row>12</xdr:row>
          <xdr:rowOff>28575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10</xdr:row>
          <xdr:rowOff>47625</xdr:rowOff>
        </xdr:from>
        <xdr:to>
          <xdr:col>2</xdr:col>
          <xdr:colOff>114300</xdr:colOff>
          <xdr:row>12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11</xdr:row>
          <xdr:rowOff>95250</xdr:rowOff>
        </xdr:from>
        <xdr:to>
          <xdr:col>8</xdr:col>
          <xdr:colOff>57150</xdr:colOff>
          <xdr:row>13</xdr:row>
          <xdr:rowOff>19050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12</xdr:row>
          <xdr:rowOff>76200</xdr:rowOff>
        </xdr:from>
        <xdr:to>
          <xdr:col>8</xdr:col>
          <xdr:colOff>57150</xdr:colOff>
          <xdr:row>14</xdr:row>
          <xdr:rowOff>19050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13</xdr:row>
          <xdr:rowOff>76200</xdr:rowOff>
        </xdr:from>
        <xdr:to>
          <xdr:col>8</xdr:col>
          <xdr:colOff>57150</xdr:colOff>
          <xdr:row>15</xdr:row>
          <xdr:rowOff>19050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</xdr:row>
          <xdr:rowOff>76200</xdr:rowOff>
        </xdr:from>
        <xdr:to>
          <xdr:col>5</xdr:col>
          <xdr:colOff>209550</xdr:colOff>
          <xdr:row>78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76</xdr:row>
          <xdr:rowOff>76200</xdr:rowOff>
        </xdr:from>
        <xdr:to>
          <xdr:col>7</xdr:col>
          <xdr:colOff>333375</xdr:colOff>
          <xdr:row>78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</xdr:row>
          <xdr:rowOff>76200</xdr:rowOff>
        </xdr:from>
        <xdr:to>
          <xdr:col>5</xdr:col>
          <xdr:colOff>209550</xdr:colOff>
          <xdr:row>78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76</xdr:row>
          <xdr:rowOff>76200</xdr:rowOff>
        </xdr:from>
        <xdr:to>
          <xdr:col>7</xdr:col>
          <xdr:colOff>333375</xdr:colOff>
          <xdr:row>78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21</xdr:row>
          <xdr:rowOff>47625</xdr:rowOff>
        </xdr:from>
        <xdr:to>
          <xdr:col>10</xdr:col>
          <xdr:colOff>133350</xdr:colOff>
          <xdr:row>23</xdr:row>
          <xdr:rowOff>28575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22</xdr:row>
          <xdr:rowOff>95250</xdr:rowOff>
        </xdr:from>
        <xdr:to>
          <xdr:col>10</xdr:col>
          <xdr:colOff>133350</xdr:colOff>
          <xdr:row>24</xdr:row>
          <xdr:rowOff>28575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"/>
  <sheetViews>
    <sheetView tabSelected="1" topLeftCell="B19" zoomScaleNormal="100" workbookViewId="0">
      <selection activeCell="D21" sqref="D21:I21"/>
    </sheetView>
  </sheetViews>
  <sheetFormatPr baseColWidth="10" defaultColWidth="11.42578125" defaultRowHeight="12" x14ac:dyDescent="0.2"/>
  <cols>
    <col min="1" max="1" width="1.5703125" style="13" customWidth="1"/>
    <col min="2" max="2" width="8.28515625" style="13" customWidth="1"/>
    <col min="3" max="3" width="8.7109375" style="13" customWidth="1"/>
    <col min="4" max="4" width="1.7109375" style="13" customWidth="1"/>
    <col min="5" max="5" width="5.140625" style="13" customWidth="1"/>
    <col min="6" max="6" width="6.5703125" style="13" customWidth="1"/>
    <col min="7" max="7" width="6.7109375" style="13" customWidth="1"/>
    <col min="8" max="8" width="7" style="13" customWidth="1"/>
    <col min="9" max="9" width="1.7109375" style="13" customWidth="1"/>
    <col min="10" max="10" width="5.28515625" style="13" customWidth="1"/>
    <col min="11" max="11" width="6.28515625" style="13" customWidth="1"/>
    <col min="12" max="12" width="7.5703125" style="13" customWidth="1"/>
    <col min="13" max="13" width="7.42578125" style="13" customWidth="1"/>
    <col min="14" max="14" width="1.7109375" style="13" customWidth="1"/>
    <col min="15" max="15" width="5.28515625" style="13" customWidth="1"/>
    <col min="16" max="16" width="6.85546875" style="13" customWidth="1"/>
    <col min="17" max="17" width="7.7109375" style="13" customWidth="1"/>
    <col min="18" max="18" width="6.85546875" style="13" customWidth="1"/>
    <col min="19" max="19" width="5.42578125" style="13" customWidth="1"/>
    <col min="20" max="20" width="0.7109375" style="13" customWidth="1"/>
    <col min="21" max="16384" width="11.42578125" style="13"/>
  </cols>
  <sheetData>
    <row r="1" spans="1:20" ht="5.0999999999999996" customHeight="1" x14ac:dyDescent="0.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ht="10.15" customHeight="1" x14ac:dyDescent="0.2">
      <c r="A2" s="55"/>
      <c r="T2" s="56"/>
    </row>
    <row r="3" spans="1:20" ht="10.15" customHeight="1" x14ac:dyDescent="0.2">
      <c r="A3" s="55"/>
      <c r="T3" s="56"/>
    </row>
    <row r="4" spans="1:20" ht="10.15" customHeight="1" x14ac:dyDescent="0.2">
      <c r="A4" s="55"/>
      <c r="T4" s="56"/>
    </row>
    <row r="5" spans="1:20" s="1" customFormat="1" ht="26.25" x14ac:dyDescent="0.4">
      <c r="A5" s="57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8"/>
    </row>
    <row r="6" spans="1:20" s="1" customFormat="1" ht="15" x14ac:dyDescent="0.25">
      <c r="A6" s="57"/>
      <c r="T6" s="58"/>
    </row>
    <row r="7" spans="1:20" s="19" customFormat="1" ht="15" customHeight="1" x14ac:dyDescent="0.25">
      <c r="A7" s="59"/>
      <c r="B7" s="15" t="s">
        <v>29</v>
      </c>
      <c r="D7" s="111" t="s">
        <v>22</v>
      </c>
      <c r="E7" s="111"/>
      <c r="F7" s="111"/>
      <c r="G7" s="111"/>
      <c r="Q7" s="34" t="s">
        <v>9</v>
      </c>
      <c r="R7" s="112">
        <v>45797</v>
      </c>
      <c r="S7" s="112"/>
      <c r="T7" s="60"/>
    </row>
    <row r="8" spans="1:20" s="1" customFormat="1" ht="5.0999999999999996" customHeight="1" x14ac:dyDescent="0.25">
      <c r="A8" s="5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8"/>
    </row>
    <row r="9" spans="1:20" s="1" customFormat="1" ht="5.0999999999999996" customHeight="1" x14ac:dyDescent="0.25">
      <c r="A9" s="57"/>
      <c r="T9" s="58"/>
    </row>
    <row r="10" spans="1:20" s="19" customFormat="1" ht="15" customHeight="1" x14ac:dyDescent="0.25">
      <c r="A10" s="59"/>
      <c r="B10" s="2" t="s">
        <v>50</v>
      </c>
      <c r="K10" s="39" t="s">
        <v>124</v>
      </c>
      <c r="L10" s="39"/>
      <c r="P10" s="111"/>
      <c r="Q10" s="111"/>
      <c r="R10" s="111"/>
      <c r="S10" s="111"/>
      <c r="T10" s="60"/>
    </row>
    <row r="11" spans="1:20" ht="10.15" customHeight="1" x14ac:dyDescent="0.2">
      <c r="A11" s="55"/>
      <c r="T11" s="56"/>
    </row>
    <row r="12" spans="1:20" s="19" customFormat="1" ht="15" customHeight="1" x14ac:dyDescent="0.25">
      <c r="A12" s="59"/>
      <c r="C12" s="39" t="s">
        <v>27</v>
      </c>
      <c r="L12" s="39" t="s">
        <v>28</v>
      </c>
      <c r="M12" s="39"/>
      <c r="O12" s="39"/>
      <c r="T12" s="60"/>
    </row>
    <row r="13" spans="1:20" x14ac:dyDescent="0.2">
      <c r="A13" s="55"/>
      <c r="M13" s="40" t="s">
        <v>125</v>
      </c>
      <c r="N13" s="40"/>
      <c r="T13" s="56"/>
    </row>
    <row r="14" spans="1:20" x14ac:dyDescent="0.2">
      <c r="A14" s="55"/>
      <c r="M14" s="40" t="s">
        <v>116</v>
      </c>
      <c r="N14" s="40"/>
      <c r="T14" s="56"/>
    </row>
    <row r="15" spans="1:20" x14ac:dyDescent="0.2">
      <c r="A15" s="55"/>
      <c r="M15" s="40" t="s">
        <v>117</v>
      </c>
      <c r="N15" s="40"/>
      <c r="T15" s="56"/>
    </row>
    <row r="16" spans="1:20" ht="5.0999999999999996" customHeight="1" x14ac:dyDescent="0.2">
      <c r="A16" s="55"/>
      <c r="T16" s="56"/>
    </row>
    <row r="17" spans="1:20" s="11" customFormat="1" ht="3" customHeight="1" x14ac:dyDescent="0.2">
      <c r="A17" s="6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2"/>
    </row>
    <row r="18" spans="1:20" s="11" customFormat="1" ht="5.0999999999999996" customHeight="1" x14ac:dyDescent="0.2">
      <c r="A18" s="61"/>
      <c r="T18" s="62"/>
    </row>
    <row r="19" spans="1:20" ht="15" customHeight="1" x14ac:dyDescent="0.2">
      <c r="A19" s="55"/>
      <c r="B19" s="2" t="s">
        <v>49</v>
      </c>
      <c r="T19" s="56"/>
    </row>
    <row r="20" spans="1:20" ht="10.15" customHeight="1" x14ac:dyDescent="0.2">
      <c r="A20" s="55"/>
      <c r="T20" s="56"/>
    </row>
    <row r="21" spans="1:20" s="19" customFormat="1" ht="15" customHeight="1" x14ac:dyDescent="0.25">
      <c r="A21" s="59"/>
      <c r="B21" s="39" t="s">
        <v>54</v>
      </c>
      <c r="D21" s="111" t="s">
        <v>160</v>
      </c>
      <c r="E21" s="111"/>
      <c r="F21" s="111"/>
      <c r="G21" s="111"/>
      <c r="H21" s="111"/>
      <c r="I21" s="111"/>
      <c r="L21" s="39" t="s">
        <v>55</v>
      </c>
      <c r="O21" s="111" t="s">
        <v>156</v>
      </c>
      <c r="P21" s="111"/>
      <c r="Q21" s="111"/>
      <c r="R21" s="111"/>
      <c r="S21" s="111"/>
      <c r="T21" s="60"/>
    </row>
    <row r="22" spans="1:20" ht="10.15" customHeight="1" x14ac:dyDescent="0.2">
      <c r="A22" s="55"/>
      <c r="T22" s="56"/>
    </row>
    <row r="23" spans="1:20" s="19" customFormat="1" ht="15" customHeight="1" thickBot="1" x14ac:dyDescent="0.25">
      <c r="A23" s="59"/>
      <c r="B23" s="3" t="s">
        <v>107</v>
      </c>
      <c r="F23" s="13"/>
      <c r="G23" s="112">
        <v>45779</v>
      </c>
      <c r="H23" s="113"/>
      <c r="I23" s="113"/>
      <c r="L23" s="39" t="s">
        <v>150</v>
      </c>
      <c r="P23" s="100" t="s">
        <v>52</v>
      </c>
      <c r="Q23" s="99"/>
      <c r="R23" s="99"/>
      <c r="S23" s="99"/>
      <c r="T23" s="60"/>
    </row>
    <row r="24" spans="1:20" ht="15" customHeight="1" x14ac:dyDescent="0.2">
      <c r="A24" s="55"/>
      <c r="P24" s="101" t="s">
        <v>53</v>
      </c>
      <c r="Q24" s="98"/>
      <c r="R24" s="98"/>
      <c r="S24" s="98"/>
      <c r="T24" s="56"/>
    </row>
    <row r="25" spans="1:20" ht="10.15" customHeight="1" x14ac:dyDescent="0.2">
      <c r="A25" s="55"/>
      <c r="T25" s="56"/>
    </row>
    <row r="26" spans="1:20" ht="15" customHeight="1" x14ac:dyDescent="0.2">
      <c r="A26" s="55"/>
      <c r="B26" s="39" t="s">
        <v>115</v>
      </c>
      <c r="C26" s="19"/>
      <c r="D26" s="111" t="s">
        <v>61</v>
      </c>
      <c r="E26" s="111"/>
      <c r="F26" s="111"/>
      <c r="G26" s="111"/>
      <c r="I26" s="14"/>
      <c r="J26" s="117" t="s">
        <v>108</v>
      </c>
      <c r="K26" s="117"/>
      <c r="L26" s="117"/>
      <c r="M26" s="41" t="s">
        <v>57</v>
      </c>
      <c r="N26" s="115">
        <v>45748</v>
      </c>
      <c r="O26" s="115"/>
      <c r="P26" s="115"/>
      <c r="Q26" s="41" t="s">
        <v>58</v>
      </c>
      <c r="R26" s="115">
        <v>46112</v>
      </c>
      <c r="S26" s="115"/>
      <c r="T26" s="116"/>
    </row>
    <row r="27" spans="1:20" ht="5.0999999999999996" customHeight="1" x14ac:dyDescent="0.2">
      <c r="A27" s="55"/>
      <c r="T27" s="56"/>
    </row>
    <row r="28" spans="1:20" s="11" customFormat="1" ht="3" customHeight="1" x14ac:dyDescent="0.2">
      <c r="A28" s="6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2"/>
    </row>
    <row r="29" spans="1:20" s="11" customFormat="1" ht="5.0999999999999996" customHeight="1" x14ac:dyDescent="0.2">
      <c r="A29" s="61"/>
      <c r="T29" s="62"/>
    </row>
    <row r="30" spans="1:20" ht="12.75" x14ac:dyDescent="0.2">
      <c r="A30" s="55"/>
      <c r="B30" s="2" t="s">
        <v>109</v>
      </c>
      <c r="T30" s="56"/>
    </row>
    <row r="31" spans="1:20" ht="10.15" customHeight="1" x14ac:dyDescent="0.2">
      <c r="A31" s="55"/>
      <c r="T31" s="56"/>
    </row>
    <row r="32" spans="1:20" ht="15" customHeight="1" x14ac:dyDescent="0.2">
      <c r="A32" s="55"/>
      <c r="B32" s="39" t="s">
        <v>114</v>
      </c>
      <c r="D32" s="111" t="s">
        <v>111</v>
      </c>
      <c r="E32" s="111"/>
      <c r="F32" s="111"/>
      <c r="G32" s="111"/>
      <c r="T32" s="56"/>
    </row>
    <row r="33" spans="1:20" x14ac:dyDescent="0.2">
      <c r="A33" s="55"/>
      <c r="T33" s="56"/>
    </row>
    <row r="34" spans="1:20" ht="14.25" customHeight="1" x14ac:dyDescent="0.2">
      <c r="A34" s="55"/>
      <c r="E34" s="118" t="s">
        <v>152</v>
      </c>
      <c r="F34" s="119"/>
      <c r="G34" s="119"/>
      <c r="H34" s="120"/>
      <c r="J34" s="118" t="s">
        <v>153</v>
      </c>
      <c r="K34" s="119"/>
      <c r="L34" s="119"/>
      <c r="M34" s="120"/>
      <c r="O34" s="118" t="s">
        <v>0</v>
      </c>
      <c r="P34" s="119"/>
      <c r="Q34" s="119"/>
      <c r="R34" s="119"/>
      <c r="S34" s="120"/>
      <c r="T34" s="56"/>
    </row>
    <row r="35" spans="1:20" ht="24.75" customHeight="1" x14ac:dyDescent="0.2">
      <c r="A35" s="55"/>
      <c r="E35" s="20" t="s">
        <v>101</v>
      </c>
      <c r="F35" s="21" t="s">
        <v>104</v>
      </c>
      <c r="G35" s="21" t="s">
        <v>103</v>
      </c>
      <c r="H35" s="22" t="s">
        <v>105</v>
      </c>
      <c r="J35" s="20" t="s">
        <v>101</v>
      </c>
      <c r="K35" s="21" t="s">
        <v>104</v>
      </c>
      <c r="L35" s="21" t="s">
        <v>103</v>
      </c>
      <c r="M35" s="22" t="s">
        <v>105</v>
      </c>
      <c r="O35" s="20" t="s">
        <v>101</v>
      </c>
      <c r="P35" s="21" t="s">
        <v>104</v>
      </c>
      <c r="Q35" s="21" t="s">
        <v>103</v>
      </c>
      <c r="R35" s="22" t="s">
        <v>105</v>
      </c>
      <c r="S35" s="33" t="s">
        <v>1</v>
      </c>
      <c r="T35" s="56"/>
    </row>
    <row r="36" spans="1:20" x14ac:dyDescent="0.2">
      <c r="A36" s="55"/>
      <c r="T36" s="56"/>
    </row>
    <row r="37" spans="1:20" x14ac:dyDescent="0.2">
      <c r="A37" s="55"/>
      <c r="B37" s="23" t="s">
        <v>37</v>
      </c>
      <c r="C37" s="24"/>
      <c r="E37" s="77"/>
      <c r="F37" s="77"/>
      <c r="G37" s="28">
        <f>E37*F37</f>
        <v>0</v>
      </c>
      <c r="H37" s="28"/>
      <c r="I37" s="42"/>
      <c r="J37" s="77"/>
      <c r="K37" s="77"/>
      <c r="L37" s="28">
        <f>J37*K37</f>
        <v>0</v>
      </c>
      <c r="M37" s="28"/>
      <c r="N37" s="42"/>
      <c r="O37" s="77">
        <f>J37-E37</f>
        <v>0</v>
      </c>
      <c r="P37" s="77">
        <f>K37-F37</f>
        <v>0</v>
      </c>
      <c r="Q37" s="28">
        <f>L37-G37</f>
        <v>0</v>
      </c>
      <c r="R37" s="28">
        <f>M37-H37</f>
        <v>0</v>
      </c>
      <c r="S37" s="92" t="str">
        <f>IFERROR(R37/H37,"-")</f>
        <v>-</v>
      </c>
      <c r="T37" s="56"/>
    </row>
    <row r="38" spans="1:20" x14ac:dyDescent="0.2">
      <c r="A38" s="55"/>
      <c r="B38" s="26" t="s">
        <v>37</v>
      </c>
      <c r="C38" s="27"/>
      <c r="E38" s="78"/>
      <c r="F38" s="78"/>
      <c r="G38" s="29">
        <f>G37</f>
        <v>0</v>
      </c>
      <c r="H38" s="32">
        <f>H37</f>
        <v>0</v>
      </c>
      <c r="I38" s="43"/>
      <c r="J38" s="78"/>
      <c r="K38" s="78"/>
      <c r="L38" s="29">
        <f>L37</f>
        <v>0</v>
      </c>
      <c r="M38" s="32">
        <f>M37</f>
        <v>0</v>
      </c>
      <c r="N38" s="43"/>
      <c r="O38" s="78"/>
      <c r="P38" s="78"/>
      <c r="Q38" s="29">
        <f>Q37</f>
        <v>0</v>
      </c>
      <c r="R38" s="32">
        <f>R37</f>
        <v>0</v>
      </c>
      <c r="S38" s="93" t="str">
        <f>IFERROR(R38/H38,"-")</f>
        <v>-</v>
      </c>
      <c r="T38" s="56"/>
    </row>
    <row r="39" spans="1:20" x14ac:dyDescent="0.2">
      <c r="A39" s="55"/>
      <c r="E39" s="79"/>
      <c r="F39" s="79"/>
      <c r="G39" s="42"/>
      <c r="H39" s="42"/>
      <c r="I39" s="42"/>
      <c r="J39" s="79"/>
      <c r="K39" s="79"/>
      <c r="L39" s="42"/>
      <c r="M39" s="42"/>
      <c r="N39" s="42"/>
      <c r="O39" s="79"/>
      <c r="P39" s="79"/>
      <c r="Q39" s="42"/>
      <c r="R39" s="42"/>
      <c r="S39" s="94"/>
      <c r="T39" s="56"/>
    </row>
    <row r="40" spans="1:20" x14ac:dyDescent="0.2">
      <c r="A40" s="55"/>
      <c r="B40" s="24" t="s">
        <v>95</v>
      </c>
      <c r="C40" s="24"/>
      <c r="E40" s="77"/>
      <c r="F40" s="77"/>
      <c r="G40" s="28">
        <f>E40*F40</f>
        <v>0</v>
      </c>
      <c r="H40" s="28">
        <f>(G40-G40*20%)*95%</f>
        <v>0</v>
      </c>
      <c r="I40" s="42"/>
      <c r="J40" s="77"/>
      <c r="K40" s="77"/>
      <c r="L40" s="28">
        <f>J40*K40</f>
        <v>0</v>
      </c>
      <c r="M40" s="28">
        <f>(L40-L40*32.9%)*95%</f>
        <v>0</v>
      </c>
      <c r="N40" s="42"/>
      <c r="O40" s="77">
        <f t="shared" ref="O40:O41" si="0">J40-E40</f>
        <v>0</v>
      </c>
      <c r="P40" s="77">
        <f t="shared" ref="P40:P41" si="1">K40-F40</f>
        <v>0</v>
      </c>
      <c r="Q40" s="28">
        <f>L40-G40</f>
        <v>0</v>
      </c>
      <c r="R40" s="28">
        <f t="shared" ref="R40:R41" si="2">M40-H40</f>
        <v>0</v>
      </c>
      <c r="S40" s="92" t="str">
        <f>IFERROR(R40/H40,"-")</f>
        <v>-</v>
      </c>
      <c r="T40" s="56"/>
    </row>
    <row r="41" spans="1:20" x14ac:dyDescent="0.2">
      <c r="A41" s="55"/>
      <c r="B41" s="25" t="s">
        <v>96</v>
      </c>
      <c r="C41" s="25"/>
      <c r="E41" s="80"/>
      <c r="F41" s="80"/>
      <c r="G41" s="30">
        <f>E41*F41</f>
        <v>0</v>
      </c>
      <c r="H41" s="28">
        <f>(G41-G41*20%)*95%</f>
        <v>0</v>
      </c>
      <c r="I41" s="42"/>
      <c r="J41" s="80"/>
      <c r="K41" s="80"/>
      <c r="L41" s="30">
        <f>J41*K41</f>
        <v>0</v>
      </c>
      <c r="M41" s="28">
        <f>(L41-L41*32.9%)*95%</f>
        <v>0</v>
      </c>
      <c r="N41" s="42"/>
      <c r="O41" s="80">
        <f t="shared" si="0"/>
        <v>0</v>
      </c>
      <c r="P41" s="80">
        <f t="shared" si="1"/>
        <v>0</v>
      </c>
      <c r="Q41" s="30">
        <f>L41-G41</f>
        <v>0</v>
      </c>
      <c r="R41" s="30">
        <f t="shared" si="2"/>
        <v>0</v>
      </c>
      <c r="S41" s="95" t="str">
        <f>IFERROR(R41/H41,"-")</f>
        <v>-</v>
      </c>
      <c r="T41" s="56"/>
    </row>
    <row r="42" spans="1:20" x14ac:dyDescent="0.2">
      <c r="A42" s="55"/>
      <c r="B42" s="24" t="s">
        <v>151</v>
      </c>
      <c r="C42" s="24"/>
      <c r="E42" s="77"/>
      <c r="F42" s="77"/>
      <c r="G42" s="28">
        <f>E42*F42</f>
        <v>0</v>
      </c>
      <c r="H42" s="28">
        <f>(G42-G42*20%)</f>
        <v>0</v>
      </c>
      <c r="I42" s="42"/>
      <c r="J42" s="77"/>
      <c r="K42" s="77"/>
      <c r="L42" s="28">
        <f>J42*K42</f>
        <v>0</v>
      </c>
      <c r="M42" s="28">
        <f>(L42-L42*20%)</f>
        <v>0</v>
      </c>
      <c r="N42" s="42"/>
      <c r="O42" s="77">
        <f t="shared" ref="O42" si="3">J42-E42</f>
        <v>0</v>
      </c>
      <c r="P42" s="77">
        <f t="shared" ref="P42" si="4">K42-F42</f>
        <v>0</v>
      </c>
      <c r="Q42" s="28">
        <f>L42-G42</f>
        <v>0</v>
      </c>
      <c r="R42" s="28">
        <f t="shared" ref="R42" si="5">M42-H42</f>
        <v>0</v>
      </c>
      <c r="S42" s="95" t="str">
        <f>IFERROR(R42/H42,"-")</f>
        <v>-</v>
      </c>
      <c r="T42" s="56"/>
    </row>
    <row r="43" spans="1:20" x14ac:dyDescent="0.2">
      <c r="A43" s="55"/>
      <c r="B43" s="31" t="s">
        <v>38</v>
      </c>
      <c r="C43" s="27"/>
      <c r="E43" s="78"/>
      <c r="F43" s="78"/>
      <c r="G43" s="29">
        <f>SUM(G40:G42)</f>
        <v>0</v>
      </c>
      <c r="H43" s="32">
        <f>SUM(H40:H42)</f>
        <v>0</v>
      </c>
      <c r="I43" s="43"/>
      <c r="J43" s="78"/>
      <c r="K43" s="78"/>
      <c r="L43" s="29">
        <f>SUM(L40:L42)</f>
        <v>0</v>
      </c>
      <c r="M43" s="32">
        <f>SUM(M40:M42)</f>
        <v>0</v>
      </c>
      <c r="N43" s="43"/>
      <c r="O43" s="78"/>
      <c r="P43" s="78"/>
      <c r="Q43" s="29">
        <f>SUM(Q40:Q42)</f>
        <v>0</v>
      </c>
      <c r="R43" s="32">
        <f>SUM(R40:R42)</f>
        <v>0</v>
      </c>
      <c r="S43" s="93" t="str">
        <f>IFERROR(R43/H43,"-")</f>
        <v>-</v>
      </c>
      <c r="T43" s="56"/>
    </row>
    <row r="44" spans="1:20" x14ac:dyDescent="0.2">
      <c r="A44" s="55"/>
      <c r="E44" s="79"/>
      <c r="F44" s="79"/>
      <c r="G44" s="42"/>
      <c r="H44" s="42"/>
      <c r="I44" s="42"/>
      <c r="J44" s="79"/>
      <c r="K44" s="79"/>
      <c r="L44" s="42"/>
      <c r="M44" s="42"/>
      <c r="N44" s="42"/>
      <c r="O44" s="79"/>
      <c r="P44" s="79"/>
      <c r="Q44" s="42"/>
      <c r="R44" s="42"/>
      <c r="S44" s="94"/>
      <c r="T44" s="56"/>
    </row>
    <row r="45" spans="1:20" x14ac:dyDescent="0.2">
      <c r="A45" s="55"/>
      <c r="B45" s="24" t="s">
        <v>97</v>
      </c>
      <c r="C45" s="24"/>
      <c r="E45" s="77"/>
      <c r="F45" s="77"/>
      <c r="G45" s="28"/>
      <c r="H45" s="28">
        <f>(G45-G45*20%)*95%</f>
        <v>0</v>
      </c>
      <c r="I45" s="42"/>
      <c r="J45" s="77"/>
      <c r="K45" s="77"/>
      <c r="L45" s="28"/>
      <c r="M45" s="28">
        <f>(L45-L45*32.9%)*95%</f>
        <v>0</v>
      </c>
      <c r="N45" s="42"/>
      <c r="O45" s="77">
        <f>J45-E45</f>
        <v>0</v>
      </c>
      <c r="P45" s="77">
        <f>K45-F45</f>
        <v>0</v>
      </c>
      <c r="Q45" s="28">
        <f>L45-G45</f>
        <v>0</v>
      </c>
      <c r="R45" s="28">
        <f>M45-H45</f>
        <v>0</v>
      </c>
      <c r="S45" s="92" t="str">
        <f>IFERROR(R45/H45,"-")</f>
        <v>-</v>
      </c>
      <c r="T45" s="56"/>
    </row>
    <row r="46" spans="1:20" x14ac:dyDescent="0.2">
      <c r="A46" s="55"/>
      <c r="B46" s="31" t="s">
        <v>39</v>
      </c>
      <c r="C46" s="27"/>
      <c r="E46" s="78"/>
      <c r="F46" s="78"/>
      <c r="G46" s="29">
        <f>G45</f>
        <v>0</v>
      </c>
      <c r="H46" s="32">
        <f>H45</f>
        <v>0</v>
      </c>
      <c r="I46" s="43"/>
      <c r="J46" s="78"/>
      <c r="K46" s="78"/>
      <c r="L46" s="29">
        <f>L45</f>
        <v>0</v>
      </c>
      <c r="M46" s="32">
        <f>M45</f>
        <v>0</v>
      </c>
      <c r="N46" s="43"/>
      <c r="O46" s="78"/>
      <c r="P46" s="78"/>
      <c r="Q46" s="29">
        <f>Q45</f>
        <v>0</v>
      </c>
      <c r="R46" s="32">
        <f>R45</f>
        <v>0</v>
      </c>
      <c r="S46" s="93" t="str">
        <f>IFERROR(R46/H46,"-")</f>
        <v>-</v>
      </c>
      <c r="T46" s="56"/>
    </row>
    <row r="47" spans="1:20" x14ac:dyDescent="0.2">
      <c r="A47" s="55"/>
      <c r="E47" s="79"/>
      <c r="F47" s="79"/>
      <c r="G47" s="42"/>
      <c r="H47" s="42"/>
      <c r="I47" s="42"/>
      <c r="J47" s="79"/>
      <c r="K47" s="79"/>
      <c r="L47" s="42"/>
      <c r="M47" s="42"/>
      <c r="N47" s="42"/>
      <c r="O47" s="79"/>
      <c r="P47" s="79"/>
      <c r="Q47" s="42"/>
      <c r="R47" s="42"/>
      <c r="S47" s="94"/>
      <c r="T47" s="56"/>
    </row>
    <row r="48" spans="1:20" x14ac:dyDescent="0.2">
      <c r="A48" s="55"/>
      <c r="B48" s="24" t="s">
        <v>98</v>
      </c>
      <c r="C48" s="24"/>
      <c r="E48" s="77"/>
      <c r="F48" s="77"/>
      <c r="G48" s="28">
        <f>E48*F48</f>
        <v>0</v>
      </c>
      <c r="H48" s="28"/>
      <c r="I48" s="42"/>
      <c r="J48" s="77"/>
      <c r="K48" s="77"/>
      <c r="L48" s="28">
        <f>J48*K48</f>
        <v>0</v>
      </c>
      <c r="M48" s="28"/>
      <c r="N48" s="42"/>
      <c r="O48" s="77">
        <f t="shared" ref="O48:R49" si="6">J48-E48</f>
        <v>0</v>
      </c>
      <c r="P48" s="77">
        <f t="shared" si="6"/>
        <v>0</v>
      </c>
      <c r="Q48" s="28">
        <f t="shared" si="6"/>
        <v>0</v>
      </c>
      <c r="R48" s="28">
        <f t="shared" si="6"/>
        <v>0</v>
      </c>
      <c r="S48" s="92" t="str">
        <f>IFERROR(R48/H48,"-")</f>
        <v>-</v>
      </c>
      <c r="T48" s="56"/>
    </row>
    <row r="49" spans="1:20" x14ac:dyDescent="0.2">
      <c r="A49" s="55"/>
      <c r="B49" s="25" t="s">
        <v>99</v>
      </c>
      <c r="C49" s="25"/>
      <c r="E49" s="80"/>
      <c r="F49" s="80"/>
      <c r="G49" s="30">
        <f>E49*F49</f>
        <v>0</v>
      </c>
      <c r="H49" s="30">
        <f>(G49-G49*20%)*95%</f>
        <v>0</v>
      </c>
      <c r="I49" s="42"/>
      <c r="J49" s="80"/>
      <c r="K49" s="80"/>
      <c r="L49" s="30">
        <f>J49*K49</f>
        <v>0</v>
      </c>
      <c r="M49" s="30">
        <f>(L49-L49*32.9%)*95%</f>
        <v>0</v>
      </c>
      <c r="N49" s="42"/>
      <c r="O49" s="80">
        <f t="shared" si="6"/>
        <v>0</v>
      </c>
      <c r="P49" s="80">
        <f t="shared" si="6"/>
        <v>0</v>
      </c>
      <c r="Q49" s="30">
        <f t="shared" si="6"/>
        <v>0</v>
      </c>
      <c r="R49" s="30">
        <f t="shared" si="6"/>
        <v>0</v>
      </c>
      <c r="S49" s="95" t="str">
        <f>IFERROR(R49/H49,"-")</f>
        <v>-</v>
      </c>
      <c r="T49" s="56"/>
    </row>
    <row r="50" spans="1:20" x14ac:dyDescent="0.2">
      <c r="A50" s="55"/>
      <c r="B50" s="31" t="s">
        <v>100</v>
      </c>
      <c r="C50" s="27"/>
      <c r="E50" s="78"/>
      <c r="F50" s="78"/>
      <c r="G50" s="29">
        <f>SUM(G48:G49)</f>
        <v>0</v>
      </c>
      <c r="H50" s="32">
        <f>SUM(H48:H49)</f>
        <v>0</v>
      </c>
      <c r="I50" s="43"/>
      <c r="J50" s="78"/>
      <c r="K50" s="78"/>
      <c r="L50" s="29">
        <f>SUM(L48:L49)</f>
        <v>0</v>
      </c>
      <c r="M50" s="32">
        <f>SUM(M48:M49)</f>
        <v>0</v>
      </c>
      <c r="N50" s="43"/>
      <c r="O50" s="78"/>
      <c r="P50" s="78"/>
      <c r="Q50" s="29">
        <f>SUM(Q48:Q49)</f>
        <v>0</v>
      </c>
      <c r="R50" s="32">
        <f>SUM(R48:R49)</f>
        <v>0</v>
      </c>
      <c r="S50" s="93" t="str">
        <f>IFERROR(R50/H50,"-")</f>
        <v>-</v>
      </c>
      <c r="T50" s="56"/>
    </row>
    <row r="51" spans="1:20" x14ac:dyDescent="0.2">
      <c r="A51" s="55"/>
      <c r="E51" s="79"/>
      <c r="F51" s="79"/>
      <c r="G51" s="42"/>
      <c r="H51" s="42"/>
      <c r="I51" s="42"/>
      <c r="J51" s="79"/>
      <c r="K51" s="79"/>
      <c r="L51" s="42"/>
      <c r="M51" s="42"/>
      <c r="N51" s="42"/>
      <c r="O51" s="79"/>
      <c r="P51" s="79"/>
      <c r="Q51" s="42"/>
      <c r="R51" s="42"/>
      <c r="S51" s="94"/>
      <c r="T51" s="56"/>
    </row>
    <row r="52" spans="1:20" x14ac:dyDescent="0.2">
      <c r="A52" s="55"/>
      <c r="B52" s="24" t="s">
        <v>102</v>
      </c>
      <c r="C52" s="24"/>
      <c r="E52" s="77"/>
      <c r="F52" s="77"/>
      <c r="G52" s="28">
        <f>E52*F52</f>
        <v>0</v>
      </c>
      <c r="H52" s="28">
        <f>G52</f>
        <v>0</v>
      </c>
      <c r="I52" s="42"/>
      <c r="J52" s="77"/>
      <c r="K52" s="77"/>
      <c r="L52" s="28">
        <f>J52*K52</f>
        <v>0</v>
      </c>
      <c r="M52" s="28">
        <f>L52-L52*10%</f>
        <v>0</v>
      </c>
      <c r="N52" s="42"/>
      <c r="O52" s="77">
        <f>J52-E52</f>
        <v>0</v>
      </c>
      <c r="P52" s="77">
        <f>K52-F52</f>
        <v>0</v>
      </c>
      <c r="Q52" s="28">
        <f>L52-G52</f>
        <v>0</v>
      </c>
      <c r="R52" s="28">
        <f>M52-H52</f>
        <v>0</v>
      </c>
      <c r="S52" s="92" t="str">
        <f>IFERROR(R52/H52,"-")</f>
        <v>-</v>
      </c>
      <c r="T52" s="56"/>
    </row>
    <row r="53" spans="1:20" x14ac:dyDescent="0.2">
      <c r="A53" s="55"/>
      <c r="B53" s="31" t="s">
        <v>48</v>
      </c>
      <c r="C53" s="27"/>
      <c r="E53" s="78"/>
      <c r="F53" s="78"/>
      <c r="G53" s="29">
        <f>SUM(G52)</f>
        <v>0</v>
      </c>
      <c r="H53" s="32">
        <f>H52</f>
        <v>0</v>
      </c>
      <c r="I53" s="43"/>
      <c r="J53" s="84"/>
      <c r="K53" s="84"/>
      <c r="L53" s="35">
        <f>L52</f>
        <v>0</v>
      </c>
      <c r="M53" s="36">
        <f>M52</f>
        <v>0</v>
      </c>
      <c r="N53" s="43"/>
      <c r="O53" s="78"/>
      <c r="P53" s="78"/>
      <c r="Q53" s="29">
        <f>Q52</f>
        <v>0</v>
      </c>
      <c r="R53" s="32">
        <f>R52</f>
        <v>0</v>
      </c>
      <c r="S53" s="93" t="str">
        <f>IFERROR(R53/H53,"-")</f>
        <v>-</v>
      </c>
      <c r="T53" s="56"/>
    </row>
    <row r="54" spans="1:20" x14ac:dyDescent="0.2">
      <c r="A54" s="55"/>
      <c r="E54" s="79"/>
      <c r="F54" s="79"/>
      <c r="G54" s="42"/>
      <c r="H54" s="42"/>
      <c r="I54" s="42"/>
      <c r="J54" s="79"/>
      <c r="K54" s="79"/>
      <c r="L54" s="42"/>
      <c r="M54" s="42"/>
      <c r="N54" s="42"/>
      <c r="O54" s="79"/>
      <c r="P54" s="79"/>
      <c r="Q54" s="42"/>
      <c r="R54" s="42"/>
      <c r="S54" s="94"/>
      <c r="T54" s="56"/>
    </row>
    <row r="55" spans="1:20" x14ac:dyDescent="0.2">
      <c r="A55" s="55"/>
      <c r="B55" s="24" t="s">
        <v>106</v>
      </c>
      <c r="C55" s="24"/>
      <c r="E55" s="77"/>
      <c r="F55" s="77"/>
      <c r="G55" s="28">
        <f>E55*F55</f>
        <v>0</v>
      </c>
      <c r="H55" s="28">
        <f>G55</f>
        <v>0</v>
      </c>
      <c r="I55" s="42"/>
      <c r="J55" s="77"/>
      <c r="K55" s="77"/>
      <c r="L55" s="28">
        <f>J55*K55</f>
        <v>0</v>
      </c>
      <c r="M55" s="28"/>
      <c r="N55" s="42"/>
      <c r="O55" s="77">
        <f>J55-E55</f>
        <v>0</v>
      </c>
      <c r="P55" s="77">
        <f>K55-F55</f>
        <v>0</v>
      </c>
      <c r="Q55" s="28">
        <f>L55-G55</f>
        <v>0</v>
      </c>
      <c r="R55" s="28">
        <f>M55-H55</f>
        <v>0</v>
      </c>
      <c r="S55" s="92" t="str">
        <f>IFERROR(R55/H55,"-")</f>
        <v>-</v>
      </c>
      <c r="T55" s="56"/>
    </row>
    <row r="56" spans="1:20" x14ac:dyDescent="0.2">
      <c r="A56" s="55"/>
      <c r="B56" s="31" t="s">
        <v>106</v>
      </c>
      <c r="C56" s="27"/>
      <c r="E56" s="78"/>
      <c r="F56" s="78"/>
      <c r="G56" s="29">
        <f>SUM(G55)</f>
        <v>0</v>
      </c>
      <c r="H56" s="32">
        <f>H55</f>
        <v>0</v>
      </c>
      <c r="I56" s="43"/>
      <c r="J56" s="84"/>
      <c r="K56" s="84"/>
      <c r="L56" s="35">
        <f>L55</f>
        <v>0</v>
      </c>
      <c r="M56" s="36">
        <f>M55</f>
        <v>0</v>
      </c>
      <c r="N56" s="43"/>
      <c r="O56" s="78"/>
      <c r="P56" s="78"/>
      <c r="Q56" s="29">
        <f>Q55</f>
        <v>0</v>
      </c>
      <c r="R56" s="32">
        <f>R55</f>
        <v>0</v>
      </c>
      <c r="S56" s="93" t="str">
        <f>IFERROR(R56/H56,"-")</f>
        <v>-</v>
      </c>
      <c r="T56" s="56"/>
    </row>
    <row r="57" spans="1:20" s="103" customFormat="1" ht="4.9000000000000004" customHeight="1" x14ac:dyDescent="0.2">
      <c r="A57" s="102"/>
      <c r="E57" s="104"/>
      <c r="F57" s="104"/>
      <c r="G57" s="42"/>
      <c r="H57" s="105"/>
      <c r="I57" s="105"/>
      <c r="J57" s="104"/>
      <c r="K57" s="104"/>
      <c r="L57" s="42"/>
      <c r="M57" s="105"/>
      <c r="N57" s="105"/>
      <c r="O57" s="79"/>
      <c r="P57" s="79"/>
      <c r="Q57" s="42"/>
      <c r="R57" s="42"/>
      <c r="S57" s="106"/>
      <c r="T57" s="107"/>
    </row>
    <row r="58" spans="1:20" s="103" customFormat="1" ht="10.9" customHeight="1" x14ac:dyDescent="0.2">
      <c r="A58" s="102"/>
      <c r="B58" s="108" t="s">
        <v>156</v>
      </c>
      <c r="C58" s="108"/>
      <c r="E58" s="109">
        <v>0</v>
      </c>
      <c r="F58" s="109">
        <v>0</v>
      </c>
      <c r="G58" s="28">
        <v>0</v>
      </c>
      <c r="H58" s="110">
        <v>0</v>
      </c>
      <c r="I58" s="105"/>
      <c r="J58" s="109">
        <v>1</v>
      </c>
      <c r="K58" s="109">
        <v>200</v>
      </c>
      <c r="L58" s="28">
        <v>200</v>
      </c>
      <c r="M58" s="110">
        <v>200</v>
      </c>
      <c r="N58" s="105"/>
      <c r="O58" s="77">
        <f>J58-E58</f>
        <v>1</v>
      </c>
      <c r="P58" s="77">
        <f>K58-F58</f>
        <v>200</v>
      </c>
      <c r="Q58" s="28">
        <f>L58-G58</f>
        <v>200</v>
      </c>
      <c r="R58" s="28">
        <f>M58-H58</f>
        <v>200</v>
      </c>
      <c r="S58" s="92" t="str">
        <f>IFERROR(R58/H58,"-")</f>
        <v>-</v>
      </c>
      <c r="T58" s="107"/>
    </row>
    <row r="59" spans="1:20" x14ac:dyDescent="0.2">
      <c r="A59" s="55"/>
      <c r="B59" s="31" t="s">
        <v>156</v>
      </c>
      <c r="C59" s="27"/>
      <c r="E59" s="84"/>
      <c r="F59" s="84"/>
      <c r="G59" s="35">
        <f>G58</f>
        <v>0</v>
      </c>
      <c r="H59" s="36">
        <f>H58</f>
        <v>0</v>
      </c>
      <c r="I59" s="43"/>
      <c r="J59" s="84"/>
      <c r="K59" s="84"/>
      <c r="L59" s="35">
        <f>L58</f>
        <v>200</v>
      </c>
      <c r="M59" s="36">
        <f>M58</f>
        <v>200</v>
      </c>
      <c r="N59" s="43"/>
      <c r="O59" s="78"/>
      <c r="P59" s="78"/>
      <c r="Q59" s="29">
        <f>Q58</f>
        <v>200</v>
      </c>
      <c r="R59" s="32">
        <f>R58</f>
        <v>200</v>
      </c>
      <c r="S59" s="93" t="str">
        <f>IFERROR(R59/H59,"-")</f>
        <v>-</v>
      </c>
      <c r="T59" s="56"/>
    </row>
    <row r="60" spans="1:20" s="103" customFormat="1" ht="4.9000000000000004" customHeight="1" x14ac:dyDescent="0.2">
      <c r="A60" s="102"/>
      <c r="E60" s="104"/>
      <c r="F60" s="104"/>
      <c r="G60" s="42"/>
      <c r="H60" s="105"/>
      <c r="I60" s="105"/>
      <c r="J60" s="104"/>
      <c r="K60" s="104"/>
      <c r="L60" s="42"/>
      <c r="M60" s="105"/>
      <c r="N60" s="105"/>
      <c r="O60" s="79"/>
      <c r="P60" s="79"/>
      <c r="Q60" s="42"/>
      <c r="R60" s="42"/>
      <c r="S60" s="106"/>
      <c r="T60" s="107"/>
    </row>
    <row r="61" spans="1:20" s="103" customFormat="1" ht="10.9" customHeight="1" x14ac:dyDescent="0.2">
      <c r="A61" s="102"/>
      <c r="B61" s="108" t="s">
        <v>157</v>
      </c>
      <c r="C61" s="108"/>
      <c r="E61" s="109"/>
      <c r="F61" s="109"/>
      <c r="G61" s="28">
        <f>E61*F61</f>
        <v>0</v>
      </c>
      <c r="H61" s="110"/>
      <c r="I61" s="105"/>
      <c r="J61" s="109"/>
      <c r="K61" s="109"/>
      <c r="L61" s="28">
        <f>J61*K61</f>
        <v>0</v>
      </c>
      <c r="M61" s="110"/>
      <c r="N61" s="105"/>
      <c r="O61" s="77">
        <f>J61-E61</f>
        <v>0</v>
      </c>
      <c r="P61" s="77">
        <f>K61-F61</f>
        <v>0</v>
      </c>
      <c r="Q61" s="28">
        <f>L61-G61</f>
        <v>0</v>
      </c>
      <c r="R61" s="28">
        <f>M61-H61</f>
        <v>0</v>
      </c>
      <c r="S61" s="92" t="str">
        <f>IFERROR(R61/H61,"-")</f>
        <v>-</v>
      </c>
      <c r="T61" s="107"/>
    </row>
    <row r="62" spans="1:20" x14ac:dyDescent="0.2">
      <c r="A62" s="55"/>
      <c r="B62" s="31" t="s">
        <v>157</v>
      </c>
      <c r="C62" s="27"/>
      <c r="E62" s="78"/>
      <c r="F62" s="78"/>
      <c r="G62" s="29">
        <f>SUM(G61)</f>
        <v>0</v>
      </c>
      <c r="H62" s="32">
        <f>H61</f>
        <v>0</v>
      </c>
      <c r="I62" s="43"/>
      <c r="J62" s="84"/>
      <c r="K62" s="84"/>
      <c r="L62" s="35">
        <f>L61</f>
        <v>0</v>
      </c>
      <c r="M62" s="36">
        <f>M61</f>
        <v>0</v>
      </c>
      <c r="N62" s="43"/>
      <c r="O62" s="78"/>
      <c r="P62" s="78"/>
      <c r="Q62" s="29">
        <f>Q61</f>
        <v>0</v>
      </c>
      <c r="R62" s="32">
        <f>R61</f>
        <v>0</v>
      </c>
      <c r="S62" s="93" t="str">
        <f>IFERROR(R62/H62,"-")</f>
        <v>-</v>
      </c>
      <c r="T62" s="56"/>
    </row>
    <row r="63" spans="1:20" ht="10.9" customHeight="1" x14ac:dyDescent="0.2">
      <c r="A63" s="55"/>
      <c r="E63" s="79"/>
      <c r="F63" s="79"/>
      <c r="G63" s="42"/>
      <c r="H63" s="42"/>
      <c r="I63" s="42"/>
      <c r="J63" s="79"/>
      <c r="K63" s="79"/>
      <c r="L63" s="42"/>
      <c r="M63" s="42"/>
      <c r="N63" s="42"/>
      <c r="O63" s="79"/>
      <c r="P63" s="79"/>
      <c r="Q63" s="42"/>
      <c r="R63" s="42"/>
      <c r="S63" s="94"/>
      <c r="T63" s="56"/>
    </row>
    <row r="64" spans="1:20" s="14" customFormat="1" x14ac:dyDescent="0.2">
      <c r="A64" s="63"/>
      <c r="B64" s="70" t="s">
        <v>121</v>
      </c>
      <c r="C64" s="70"/>
      <c r="E64" s="81"/>
      <c r="F64" s="81"/>
      <c r="G64" s="71">
        <f>G38+G43+G46+G50+G53+G56+G59+G62</f>
        <v>0</v>
      </c>
      <c r="H64" s="72">
        <f>H38+H43+H46+H50+H53+H56+H59+H62</f>
        <v>0</v>
      </c>
      <c r="I64" s="43"/>
      <c r="J64" s="81"/>
      <c r="K64" s="81"/>
      <c r="L64" s="71">
        <f>L38+L43+L46+L50+L53+L56+L59+L62</f>
        <v>200</v>
      </c>
      <c r="M64" s="72">
        <f>M38+M43+M46+M50+M53+M56+M59+M62</f>
        <v>200</v>
      </c>
      <c r="N64" s="43"/>
      <c r="O64" s="81"/>
      <c r="P64" s="81"/>
      <c r="Q64" s="71">
        <f>Q38+Q43+Q46+Q50+Q53+Q56+Q59+Q62</f>
        <v>200</v>
      </c>
      <c r="R64" s="72">
        <f>R38+R43+R46+R50+R53+R56+R59+R62</f>
        <v>200</v>
      </c>
      <c r="S64" s="96" t="str">
        <f>IFERROR(R64/H64,"-")</f>
        <v>-</v>
      </c>
      <c r="T64" s="64"/>
    </row>
    <row r="65" spans="1:21" ht="2.1" customHeight="1" x14ac:dyDescent="0.2">
      <c r="A65" s="55"/>
      <c r="E65" s="82"/>
      <c r="F65" s="82"/>
      <c r="J65" s="82"/>
      <c r="K65" s="82"/>
      <c r="O65" s="82"/>
      <c r="P65" s="82"/>
      <c r="S65" s="50"/>
      <c r="T65" s="64"/>
      <c r="U65" s="14"/>
    </row>
    <row r="66" spans="1:21" s="14" customFormat="1" x14ac:dyDescent="0.2">
      <c r="A66" s="63"/>
      <c r="B66" s="67" t="s">
        <v>122</v>
      </c>
      <c r="C66" s="67"/>
      <c r="E66" s="83"/>
      <c r="F66" s="83"/>
      <c r="G66" s="68">
        <f>G64*4</f>
        <v>0</v>
      </c>
      <c r="H66" s="69">
        <f>H64*4</f>
        <v>0</v>
      </c>
      <c r="I66" s="43"/>
      <c r="J66" s="83"/>
      <c r="K66" s="83"/>
      <c r="L66" s="68">
        <f>L64*12</f>
        <v>2400</v>
      </c>
      <c r="M66" s="69">
        <f>M64*12</f>
        <v>2400</v>
      </c>
      <c r="N66" s="43"/>
      <c r="O66" s="83"/>
      <c r="P66" s="83"/>
      <c r="Q66" s="68">
        <f>Q64*12</f>
        <v>2400</v>
      </c>
      <c r="R66" s="69">
        <f>R64*12</f>
        <v>2400</v>
      </c>
      <c r="S66" s="97" t="str">
        <f>IFERROR(R66/H66,"-")</f>
        <v>-</v>
      </c>
      <c r="T66" s="64"/>
    </row>
    <row r="67" spans="1:21" s="37" customFormat="1" x14ac:dyDescent="0.2">
      <c r="A67" s="65"/>
      <c r="B67" s="44" t="s">
        <v>123</v>
      </c>
      <c r="E67" s="45"/>
      <c r="F67" s="45"/>
      <c r="G67" s="45"/>
      <c r="H67" s="46">
        <f>IFERROR(H64/G64-1,0)</f>
        <v>0</v>
      </c>
      <c r="I67" s="45"/>
      <c r="J67" s="45"/>
      <c r="K67" s="45"/>
      <c r="L67" s="45"/>
      <c r="M67" s="46">
        <f>IFERROR(M64/L64-1,0)</f>
        <v>0</v>
      </c>
      <c r="N67" s="45"/>
      <c r="O67" s="85"/>
      <c r="P67" s="85"/>
      <c r="Q67" s="45"/>
      <c r="R67" s="47"/>
      <c r="S67" s="45"/>
      <c r="T67" s="66"/>
    </row>
    <row r="68" spans="1:21" x14ac:dyDescent="0.2">
      <c r="A68" s="55"/>
      <c r="T68" s="64"/>
      <c r="U68" s="14"/>
    </row>
    <row r="69" spans="1:21" ht="5.0999999999999996" customHeight="1" x14ac:dyDescent="0.2">
      <c r="A69" s="55"/>
      <c r="T69" s="56"/>
    </row>
    <row r="70" spans="1:21" s="11" customFormat="1" ht="3" customHeight="1" x14ac:dyDescent="0.2">
      <c r="A70" s="6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62"/>
    </row>
    <row r="71" spans="1:21" s="11" customFormat="1" ht="5.0999999999999996" customHeight="1" x14ac:dyDescent="0.2">
      <c r="A71" s="61"/>
      <c r="T71" s="62"/>
    </row>
    <row r="72" spans="1:21" ht="12.75" x14ac:dyDescent="0.2">
      <c r="A72" s="55"/>
      <c r="B72" s="38" t="s">
        <v>120</v>
      </c>
      <c r="T72" s="56"/>
    </row>
    <row r="73" spans="1:21" ht="15" customHeight="1" x14ac:dyDescent="0.2">
      <c r="A73" s="55"/>
      <c r="B73" s="24" t="s">
        <v>159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56"/>
    </row>
    <row r="74" spans="1:21" ht="15" customHeight="1" x14ac:dyDescent="0.2">
      <c r="A74" s="55"/>
      <c r="B74" s="9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56"/>
    </row>
    <row r="75" spans="1:21" ht="15" customHeight="1" x14ac:dyDescent="0.2">
      <c r="A75" s="5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56"/>
    </row>
    <row r="76" spans="1:21" ht="15" customHeight="1" x14ac:dyDescent="0.2">
      <c r="A76" s="5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56"/>
    </row>
    <row r="77" spans="1:21" ht="15" customHeight="1" x14ac:dyDescent="0.2">
      <c r="A77" s="5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56"/>
    </row>
    <row r="78" spans="1:21" ht="5.0999999999999996" customHeight="1" x14ac:dyDescent="0.2">
      <c r="A78" s="55"/>
      <c r="T78" s="56"/>
    </row>
    <row r="79" spans="1:21" s="11" customFormat="1" ht="3" customHeight="1" x14ac:dyDescent="0.2">
      <c r="A79" s="6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62"/>
    </row>
    <row r="80" spans="1:21" s="11" customFormat="1" ht="5.0999999999999996" customHeight="1" x14ac:dyDescent="0.2">
      <c r="A80" s="61"/>
      <c r="T80" s="62"/>
    </row>
    <row r="81" spans="1:20" ht="15" customHeight="1" x14ac:dyDescent="0.2">
      <c r="A81" s="55"/>
      <c r="B81" s="2" t="s">
        <v>118</v>
      </c>
      <c r="T81" s="56"/>
    </row>
    <row r="82" spans="1:20" ht="10.15" customHeight="1" x14ac:dyDescent="0.2">
      <c r="A82" s="55"/>
      <c r="T82" s="56"/>
    </row>
    <row r="83" spans="1:20" s="19" customFormat="1" ht="15" customHeight="1" x14ac:dyDescent="0.25">
      <c r="A83" s="59"/>
      <c r="B83" s="39" t="s">
        <v>2</v>
      </c>
      <c r="F83" s="48" t="s">
        <v>3</v>
      </c>
      <c r="G83" s="76"/>
      <c r="I83" s="48" t="s">
        <v>4</v>
      </c>
      <c r="J83" s="114"/>
      <c r="K83" s="114"/>
      <c r="T83" s="60"/>
    </row>
    <row r="84" spans="1:20" ht="10.15" customHeight="1" x14ac:dyDescent="0.2">
      <c r="A84" s="55"/>
      <c r="F84" s="49"/>
      <c r="G84" s="50"/>
      <c r="I84" s="49"/>
      <c r="J84" s="49"/>
      <c r="K84" s="50"/>
      <c r="T84" s="56"/>
    </row>
    <row r="85" spans="1:20" s="19" customFormat="1" ht="15" customHeight="1" x14ac:dyDescent="0.25">
      <c r="A85" s="59"/>
      <c r="B85" s="39" t="s">
        <v>5</v>
      </c>
      <c r="F85" s="48" t="s">
        <v>3</v>
      </c>
      <c r="G85" s="76"/>
      <c r="I85" s="48" t="s">
        <v>4</v>
      </c>
      <c r="J85" s="114"/>
      <c r="K85" s="114"/>
      <c r="T85" s="60"/>
    </row>
    <row r="86" spans="1:20" ht="10.15" customHeight="1" x14ac:dyDescent="0.2">
      <c r="A86" s="55"/>
      <c r="F86" s="49"/>
      <c r="G86" s="50"/>
      <c r="I86" s="49"/>
      <c r="J86" s="49"/>
      <c r="K86" s="50"/>
      <c r="T86" s="56"/>
    </row>
    <row r="87" spans="1:20" s="19" customFormat="1" ht="15" customHeight="1" x14ac:dyDescent="0.25">
      <c r="A87" s="59"/>
      <c r="B87" s="39" t="s">
        <v>6</v>
      </c>
      <c r="F87" s="48" t="s">
        <v>3</v>
      </c>
      <c r="G87" s="76"/>
      <c r="I87" s="48" t="s">
        <v>4</v>
      </c>
      <c r="J87" s="114"/>
      <c r="K87" s="114"/>
      <c r="M87" s="51" t="s">
        <v>119</v>
      </c>
      <c r="N87" s="121"/>
      <c r="O87" s="121"/>
      <c r="P87" s="121"/>
      <c r="T87" s="60"/>
    </row>
    <row r="88" spans="1:20" ht="10.15" customHeight="1" x14ac:dyDescent="0.2">
      <c r="A88" s="55"/>
      <c r="F88" s="49"/>
      <c r="G88" s="50"/>
      <c r="I88" s="49"/>
      <c r="J88" s="49"/>
      <c r="K88" s="50"/>
      <c r="T88" s="56"/>
    </row>
    <row r="89" spans="1:20" s="19" customFormat="1" ht="15" customHeight="1" x14ac:dyDescent="0.25">
      <c r="A89" s="59"/>
      <c r="B89" s="39" t="s">
        <v>148</v>
      </c>
      <c r="F89" s="48" t="s">
        <v>3</v>
      </c>
      <c r="G89" s="76"/>
      <c r="I89" s="48" t="s">
        <v>4</v>
      </c>
      <c r="J89" s="114"/>
      <c r="K89" s="114"/>
      <c r="M89" s="51" t="s">
        <v>149</v>
      </c>
      <c r="N89" s="121">
        <v>20</v>
      </c>
      <c r="O89" s="121"/>
      <c r="P89" s="121"/>
      <c r="T89" s="60"/>
    </row>
    <row r="90" spans="1:20" ht="5.0999999999999996" customHeight="1" x14ac:dyDescent="0.2">
      <c r="A90" s="55"/>
      <c r="T90" s="56"/>
    </row>
    <row r="91" spans="1:20" s="11" customFormat="1" ht="3" customHeight="1" x14ac:dyDescent="0.2">
      <c r="A91" s="6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62"/>
    </row>
    <row r="92" spans="1:20" x14ac:dyDescent="0.2">
      <c r="A92" s="73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5"/>
    </row>
  </sheetData>
  <mergeCells count="20">
    <mergeCell ref="J89:K89"/>
    <mergeCell ref="N89:P89"/>
    <mergeCell ref="J85:K85"/>
    <mergeCell ref="J87:K87"/>
    <mergeCell ref="N87:P87"/>
    <mergeCell ref="D32:G32"/>
    <mergeCell ref="J83:K83"/>
    <mergeCell ref="D26:G26"/>
    <mergeCell ref="R26:T26"/>
    <mergeCell ref="N26:P26"/>
    <mergeCell ref="J26:L26"/>
    <mergeCell ref="E34:H34"/>
    <mergeCell ref="J34:M34"/>
    <mergeCell ref="O34:S34"/>
    <mergeCell ref="D7:G7"/>
    <mergeCell ref="R7:S7"/>
    <mergeCell ref="D21:I21"/>
    <mergeCell ref="O21:S21"/>
    <mergeCell ref="G23:I23"/>
    <mergeCell ref="P10:S10"/>
  </mergeCells>
  <dataValidations count="3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D26:G26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</dataValidations>
  <pageMargins left="0.31496062992125984" right="0.23622047244094491" top="0.51181102362204722" bottom="0.39370078740157483" header="0.31496062992125984" footer="0.31496062992125984"/>
  <pageSetup scale="90" orientation="portrait" r:id="rId1"/>
  <colBreaks count="1" manualBreakCount="1">
    <brk id="20" max="1048575" man="1"/>
  </colBreaks>
  <ignoredErrors>
    <ignoredError sqref="Q38:Q39 Q44 Q46:Q47 Q50:Q51 Q53:Q5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180975</xdr:colOff>
                    <xdr:row>11</xdr:row>
                    <xdr:rowOff>95250</xdr:rowOff>
                  </from>
                  <to>
                    <xdr:col>11</xdr:col>
                    <xdr:colOff>390525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180975</xdr:colOff>
                    <xdr:row>12</xdr:row>
                    <xdr:rowOff>66675</xdr:rowOff>
                  </from>
                  <to>
                    <xdr:col>11</xdr:col>
                    <xdr:colOff>390525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180975</xdr:colOff>
                    <xdr:row>13</xdr:row>
                    <xdr:rowOff>66675</xdr:rowOff>
                  </from>
                  <to>
                    <xdr:col>11</xdr:col>
                    <xdr:colOff>390525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76200</xdr:colOff>
                    <xdr:row>10</xdr:row>
                    <xdr:rowOff>47625</xdr:rowOff>
                  </from>
                  <to>
                    <xdr:col>11</xdr:col>
                    <xdr:colOff>57150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95250</xdr:colOff>
                    <xdr:row>81</xdr:row>
                    <xdr:rowOff>76200</xdr:rowOff>
                  </from>
                  <to>
                    <xdr:col>6</xdr:col>
                    <xdr:colOff>285750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95250</xdr:colOff>
                    <xdr:row>83</xdr:row>
                    <xdr:rowOff>76200</xdr:rowOff>
                  </from>
                  <to>
                    <xdr:col>6</xdr:col>
                    <xdr:colOff>285750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95250</xdr:colOff>
                    <xdr:row>85</xdr:row>
                    <xdr:rowOff>76200</xdr:rowOff>
                  </from>
                  <to>
                    <xdr:col>6</xdr:col>
                    <xdr:colOff>285750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9</xdr:col>
                    <xdr:colOff>133350</xdr:colOff>
                    <xdr:row>81</xdr:row>
                    <xdr:rowOff>76200</xdr:rowOff>
                  </from>
                  <to>
                    <xdr:col>10</xdr:col>
                    <xdr:colOff>104775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133350</xdr:colOff>
                    <xdr:row>83</xdr:row>
                    <xdr:rowOff>76200</xdr:rowOff>
                  </from>
                  <to>
                    <xdr:col>10</xdr:col>
                    <xdr:colOff>104775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133350</xdr:colOff>
                    <xdr:row>85</xdr:row>
                    <xdr:rowOff>76200</xdr:rowOff>
                  </from>
                  <to>
                    <xdr:col>10</xdr:col>
                    <xdr:colOff>104775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200025</xdr:colOff>
                    <xdr:row>10</xdr:row>
                    <xdr:rowOff>47625</xdr:rowOff>
                  </from>
                  <to>
                    <xdr:col>2</xdr:col>
                    <xdr:colOff>85725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6</xdr:col>
                    <xdr:colOff>95250</xdr:colOff>
                    <xdr:row>87</xdr:row>
                    <xdr:rowOff>76200</xdr:rowOff>
                  </from>
                  <to>
                    <xdr:col>6</xdr:col>
                    <xdr:colOff>285750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9</xdr:col>
                    <xdr:colOff>133350</xdr:colOff>
                    <xdr:row>87</xdr:row>
                    <xdr:rowOff>76200</xdr:rowOff>
                  </from>
                  <to>
                    <xdr:col>10</xdr:col>
                    <xdr:colOff>104775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14</xdr:col>
                    <xdr:colOff>76200</xdr:colOff>
                    <xdr:row>21</xdr:row>
                    <xdr:rowOff>57150</xdr:rowOff>
                  </from>
                  <to>
                    <xdr:col>15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14</xdr:col>
                    <xdr:colOff>76200</xdr:colOff>
                    <xdr:row>22</xdr:row>
                    <xdr:rowOff>95250</xdr:rowOff>
                  </from>
                  <to>
                    <xdr:col>15</xdr:col>
                    <xdr:colOff>95250</xdr:colOff>
                    <xdr:row>24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Tablas!$B$6:$B$25</xm:f>
          </x14:formula1>
          <xm:sqref>O21:S21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81"/>
  <sheetViews>
    <sheetView topLeftCell="A18" zoomScaleNormal="100" workbookViewId="0">
      <selection activeCell="C21" sqref="C21:F21"/>
    </sheetView>
  </sheetViews>
  <sheetFormatPr baseColWidth="10" defaultColWidth="11.42578125" defaultRowHeight="12" x14ac:dyDescent="0.2"/>
  <cols>
    <col min="1" max="1" width="1.5703125" style="13" customWidth="1"/>
    <col min="2" max="2" width="8.28515625" style="13" customWidth="1"/>
    <col min="3" max="3" width="9.42578125" style="13" customWidth="1"/>
    <col min="4" max="4" width="3.28515625" style="13" customWidth="1"/>
    <col min="5" max="5" width="9.7109375" style="13" customWidth="1"/>
    <col min="6" max="6" width="8.7109375" style="13" customWidth="1"/>
    <col min="7" max="7" width="3.28515625" style="13" customWidth="1"/>
    <col min="8" max="8" width="9.5703125" style="13" customWidth="1"/>
    <col min="9" max="9" width="8.42578125" style="13" customWidth="1"/>
    <col min="10" max="10" width="2.7109375" style="13" customWidth="1"/>
    <col min="11" max="11" width="9.28515625" style="13" customWidth="1"/>
    <col min="12" max="12" width="7.7109375" style="13" customWidth="1"/>
    <col min="13" max="13" width="6.42578125" style="13" customWidth="1"/>
    <col min="14" max="14" width="0.7109375" style="13" customWidth="1"/>
    <col min="15" max="16384" width="11.42578125" style="13"/>
  </cols>
  <sheetData>
    <row r="1" spans="1:14" ht="5.0999999999999996" customHeight="1" x14ac:dyDescent="0.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0.15" customHeight="1" x14ac:dyDescent="0.2">
      <c r="A2" s="55"/>
      <c r="N2" s="56"/>
    </row>
    <row r="3" spans="1:14" ht="10.15" customHeight="1" x14ac:dyDescent="0.2">
      <c r="A3" s="55"/>
      <c r="N3" s="56"/>
    </row>
    <row r="4" spans="1:14" ht="10.15" customHeight="1" x14ac:dyDescent="0.2">
      <c r="A4" s="55"/>
      <c r="N4" s="56"/>
    </row>
    <row r="5" spans="1:14" s="1" customFormat="1" ht="26.25" x14ac:dyDescent="0.4">
      <c r="A5" s="57"/>
      <c r="B5" s="5" t="s">
        <v>7</v>
      </c>
      <c r="C5" s="5"/>
      <c r="D5" s="6"/>
      <c r="E5" s="6"/>
      <c r="F5" s="6"/>
      <c r="G5" s="6"/>
      <c r="H5" s="6"/>
      <c r="I5" s="6"/>
      <c r="N5" s="58"/>
    </row>
    <row r="6" spans="1:14" s="1" customFormat="1" ht="15" x14ac:dyDescent="0.25">
      <c r="A6" s="57"/>
      <c r="N6" s="58"/>
    </row>
    <row r="7" spans="1:14" s="19" customFormat="1" ht="15" customHeight="1" x14ac:dyDescent="0.25">
      <c r="A7" s="59"/>
      <c r="B7" s="2" t="s">
        <v>132</v>
      </c>
      <c r="C7" s="111" t="s">
        <v>158</v>
      </c>
      <c r="D7" s="111"/>
      <c r="E7" s="111"/>
      <c r="K7" s="86" t="s">
        <v>134</v>
      </c>
      <c r="L7" s="112">
        <v>45797</v>
      </c>
      <c r="M7" s="112"/>
      <c r="N7" s="60"/>
    </row>
    <row r="8" spans="1:14" s="1" customFormat="1" ht="5.0999999999999996" customHeight="1" x14ac:dyDescent="0.25">
      <c r="A8" s="5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8"/>
    </row>
    <row r="9" spans="1:14" s="1" customFormat="1" ht="5.0999999999999996" customHeight="1" x14ac:dyDescent="0.25">
      <c r="A9" s="57"/>
      <c r="N9" s="58"/>
    </row>
    <row r="10" spans="1:14" s="19" customFormat="1" ht="15" customHeight="1" x14ac:dyDescent="0.25">
      <c r="A10" s="59"/>
      <c r="B10" s="2" t="s">
        <v>133</v>
      </c>
      <c r="H10" s="39" t="s">
        <v>127</v>
      </c>
      <c r="K10" s="111"/>
      <c r="L10" s="111"/>
      <c r="M10" s="111"/>
      <c r="N10" s="111"/>
    </row>
    <row r="11" spans="1:14" ht="10.15" customHeight="1" x14ac:dyDescent="0.2">
      <c r="A11" s="55"/>
      <c r="N11" s="56"/>
    </row>
    <row r="12" spans="1:14" s="19" customFormat="1" ht="15" customHeight="1" x14ac:dyDescent="0.2">
      <c r="A12" s="59"/>
      <c r="B12" s="13"/>
      <c r="C12" s="39" t="s">
        <v>135</v>
      </c>
      <c r="H12" s="39" t="s">
        <v>136</v>
      </c>
      <c r="I12" s="39"/>
      <c r="K12" s="39"/>
      <c r="N12" s="60"/>
    </row>
    <row r="13" spans="1:14" x14ac:dyDescent="0.2">
      <c r="A13" s="55"/>
      <c r="I13" s="40" t="s">
        <v>125</v>
      </c>
      <c r="J13" s="40"/>
      <c r="N13" s="56"/>
    </row>
    <row r="14" spans="1:14" x14ac:dyDescent="0.2">
      <c r="A14" s="55"/>
      <c r="I14" s="40" t="s">
        <v>137</v>
      </c>
      <c r="J14" s="40"/>
      <c r="N14" s="56"/>
    </row>
    <row r="15" spans="1:14" x14ac:dyDescent="0.2">
      <c r="A15" s="55"/>
      <c r="I15" s="40" t="s">
        <v>138</v>
      </c>
      <c r="J15" s="40"/>
      <c r="N15" s="56"/>
    </row>
    <row r="16" spans="1:14" ht="5.0999999999999996" customHeight="1" x14ac:dyDescent="0.2">
      <c r="A16" s="55"/>
      <c r="N16" s="56"/>
    </row>
    <row r="17" spans="1:14" s="11" customFormat="1" ht="3" customHeight="1" x14ac:dyDescent="0.2">
      <c r="A17" s="6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62"/>
    </row>
    <row r="18" spans="1:14" s="11" customFormat="1" ht="5.0999999999999996" customHeight="1" x14ac:dyDescent="0.2">
      <c r="A18" s="61"/>
      <c r="N18" s="62"/>
    </row>
    <row r="19" spans="1:14" ht="15" customHeight="1" x14ac:dyDescent="0.2">
      <c r="A19" s="55"/>
      <c r="B19" s="2" t="s">
        <v>141</v>
      </c>
      <c r="N19" s="56"/>
    </row>
    <row r="20" spans="1:14" ht="10.15" customHeight="1" x14ac:dyDescent="0.2">
      <c r="A20" s="55"/>
      <c r="N20" s="56"/>
    </row>
    <row r="21" spans="1:14" s="19" customFormat="1" ht="15" customHeight="1" x14ac:dyDescent="0.25">
      <c r="A21" s="59"/>
      <c r="B21" s="39" t="s">
        <v>129</v>
      </c>
      <c r="C21" s="111" t="s">
        <v>160</v>
      </c>
      <c r="D21" s="111"/>
      <c r="E21" s="111"/>
      <c r="F21" s="111"/>
      <c r="G21" s="39"/>
      <c r="H21" s="39"/>
      <c r="I21" s="39" t="s">
        <v>128</v>
      </c>
      <c r="K21" s="111" t="str">
        <f>INDEX('ABM Prescription Audits'!O21:S21,1,1)</f>
        <v>Dashboard Analyzer</v>
      </c>
      <c r="L21" s="111"/>
      <c r="M21" s="111"/>
      <c r="N21" s="60"/>
    </row>
    <row r="22" spans="1:14" ht="10.15" customHeight="1" x14ac:dyDescent="0.2">
      <c r="A22" s="5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56"/>
    </row>
    <row r="23" spans="1:14" s="19" customFormat="1" ht="15" customHeight="1" thickBot="1" x14ac:dyDescent="0.3">
      <c r="A23" s="59"/>
      <c r="B23" s="3" t="s">
        <v>130</v>
      </c>
      <c r="D23" s="125">
        <v>45779</v>
      </c>
      <c r="E23" s="125"/>
      <c r="F23" s="125"/>
      <c r="I23" s="39" t="s">
        <v>139</v>
      </c>
      <c r="K23" s="122" t="s">
        <v>52</v>
      </c>
      <c r="L23" s="122"/>
      <c r="M23" s="122"/>
      <c r="N23" s="60"/>
    </row>
    <row r="24" spans="1:14" ht="15" customHeight="1" x14ac:dyDescent="0.2">
      <c r="A24" s="55"/>
      <c r="B24" s="19"/>
      <c r="C24" s="19"/>
      <c r="D24" s="19"/>
      <c r="E24" s="19"/>
      <c r="F24" s="19"/>
      <c r="G24" s="19"/>
      <c r="H24" s="19"/>
      <c r="I24" s="19"/>
      <c r="J24" s="19"/>
      <c r="K24" s="126" t="s">
        <v>53</v>
      </c>
      <c r="L24" s="126"/>
      <c r="M24" s="126"/>
      <c r="N24" s="56"/>
    </row>
    <row r="25" spans="1:14" ht="10.15" customHeight="1" x14ac:dyDescent="0.2">
      <c r="A25" s="5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6"/>
    </row>
    <row r="26" spans="1:14" ht="15" customHeight="1" x14ac:dyDescent="0.2">
      <c r="A26" s="55"/>
      <c r="B26" s="39" t="s">
        <v>131</v>
      </c>
      <c r="C26" s="111" t="s">
        <v>86</v>
      </c>
      <c r="D26" s="111"/>
      <c r="E26" s="111"/>
      <c r="F26" s="89"/>
      <c r="G26" s="89" t="s">
        <v>140</v>
      </c>
      <c r="H26" s="90" t="s">
        <v>57</v>
      </c>
      <c r="I26" s="124">
        <f>INDEX('ABM Prescription Audits'!N26:P26,1,1)</f>
        <v>45748</v>
      </c>
      <c r="J26" s="124"/>
      <c r="K26" s="90" t="s">
        <v>58</v>
      </c>
      <c r="L26" s="124">
        <f>INDEX('ABM Prescription Audits'!R26:T26,1,1)</f>
        <v>46112</v>
      </c>
      <c r="M26" s="124"/>
      <c r="N26" s="56"/>
    </row>
    <row r="27" spans="1:14" ht="5.0999999999999996" customHeight="1" x14ac:dyDescent="0.2">
      <c r="A27" s="55"/>
      <c r="N27" s="56"/>
    </row>
    <row r="28" spans="1:14" s="11" customFormat="1" ht="3" customHeight="1" x14ac:dyDescent="0.2">
      <c r="A28" s="6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62"/>
    </row>
    <row r="29" spans="1:14" s="11" customFormat="1" ht="5.0999999999999996" customHeight="1" x14ac:dyDescent="0.2">
      <c r="A29" s="61"/>
      <c r="N29" s="62"/>
    </row>
    <row r="30" spans="1:14" ht="12.75" x14ac:dyDescent="0.2">
      <c r="A30" s="55"/>
      <c r="B30" s="2" t="s">
        <v>142</v>
      </c>
      <c r="N30" s="56"/>
    </row>
    <row r="31" spans="1:14" ht="10.15" customHeight="1" x14ac:dyDescent="0.2">
      <c r="A31" s="55"/>
      <c r="N31" s="56"/>
    </row>
    <row r="32" spans="1:14" ht="15" customHeight="1" x14ac:dyDescent="0.2">
      <c r="A32" s="55"/>
      <c r="B32" s="39" t="s">
        <v>143</v>
      </c>
      <c r="C32" s="111" t="str">
        <f>INDEX('ABM Prescription Audits'!D32:G320,1,1)</f>
        <v>Dólar</v>
      </c>
      <c r="D32" s="111"/>
      <c r="N32" s="56"/>
    </row>
    <row r="33" spans="1:14" x14ac:dyDescent="0.2">
      <c r="A33" s="55"/>
      <c r="N33" s="56"/>
    </row>
    <row r="34" spans="1:14" ht="24.75" customHeight="1" x14ac:dyDescent="0.2">
      <c r="A34" s="55"/>
      <c r="E34" s="123" t="s">
        <v>154</v>
      </c>
      <c r="F34" s="120"/>
      <c r="H34" s="123" t="s">
        <v>155</v>
      </c>
      <c r="I34" s="120"/>
      <c r="K34" s="118" t="s">
        <v>0</v>
      </c>
      <c r="L34" s="119"/>
      <c r="M34" s="120"/>
      <c r="N34" s="56"/>
    </row>
    <row r="35" spans="1:14" ht="24" x14ac:dyDescent="0.2">
      <c r="A35" s="55"/>
      <c r="E35" s="21" t="s">
        <v>103</v>
      </c>
      <c r="F35" s="22" t="s">
        <v>126</v>
      </c>
      <c r="H35" s="21" t="s">
        <v>103</v>
      </c>
      <c r="I35" s="22" t="s">
        <v>126</v>
      </c>
      <c r="K35" s="21" t="s">
        <v>103</v>
      </c>
      <c r="L35" s="22" t="s">
        <v>126</v>
      </c>
      <c r="M35" s="33" t="s">
        <v>1</v>
      </c>
      <c r="N35" s="56"/>
    </row>
    <row r="36" spans="1:14" x14ac:dyDescent="0.2">
      <c r="A36" s="55"/>
      <c r="N36" s="56"/>
    </row>
    <row r="37" spans="1:14" x14ac:dyDescent="0.2">
      <c r="A37" s="55"/>
      <c r="B37" s="26" t="s">
        <v>37</v>
      </c>
      <c r="C37" s="27"/>
      <c r="E37" s="78">
        <f>'ABM Prescription Audits'!G38</f>
        <v>0</v>
      </c>
      <c r="F37" s="32">
        <f>'ABM Prescription Audits'!H38</f>
        <v>0</v>
      </c>
      <c r="G37" s="43"/>
      <c r="H37" s="78">
        <f>'ABM Prescription Audits'!L38</f>
        <v>0</v>
      </c>
      <c r="I37" s="32">
        <f>'ABM Prescription Audits'!M38</f>
        <v>0</v>
      </c>
      <c r="J37" s="43"/>
      <c r="K37" s="78">
        <f>'ABM Prescription Audits'!Q38</f>
        <v>0</v>
      </c>
      <c r="L37" s="32">
        <f>'ABM Prescription Audits'!R38</f>
        <v>0</v>
      </c>
      <c r="M37" s="93" t="str">
        <f>IFERROR(L37/F37,"-")</f>
        <v>-</v>
      </c>
      <c r="N37" s="56"/>
    </row>
    <row r="38" spans="1:14" x14ac:dyDescent="0.2">
      <c r="A38" s="55"/>
      <c r="E38" s="79"/>
      <c r="F38" s="42"/>
      <c r="G38" s="42"/>
      <c r="H38" s="79"/>
      <c r="I38" s="42"/>
      <c r="J38" s="42"/>
      <c r="K38" s="79"/>
      <c r="L38" s="42"/>
      <c r="M38" s="94"/>
      <c r="N38" s="56"/>
    </row>
    <row r="39" spans="1:14" x14ac:dyDescent="0.2">
      <c r="A39" s="55"/>
      <c r="B39" s="31" t="s">
        <v>38</v>
      </c>
      <c r="C39" s="27"/>
      <c r="E39" s="78">
        <f>'ABM Prescription Audits'!G43</f>
        <v>0</v>
      </c>
      <c r="F39" s="32">
        <f>'ABM Prescription Audits'!H43</f>
        <v>0</v>
      </c>
      <c r="G39" s="43"/>
      <c r="H39" s="78">
        <f>'ABM Prescription Audits'!L43</f>
        <v>0</v>
      </c>
      <c r="I39" s="32">
        <f>'ABM Prescription Audits'!M43</f>
        <v>0</v>
      </c>
      <c r="J39" s="43"/>
      <c r="K39" s="78">
        <f>'ABM Prescription Audits'!Q43</f>
        <v>0</v>
      </c>
      <c r="L39" s="32">
        <f>'ABM Prescription Audits'!R43</f>
        <v>0</v>
      </c>
      <c r="M39" s="93" t="str">
        <f>IFERROR(L39/F39,"-")</f>
        <v>-</v>
      </c>
      <c r="N39" s="56"/>
    </row>
    <row r="40" spans="1:14" x14ac:dyDescent="0.2">
      <c r="A40" s="55"/>
      <c r="E40" s="79"/>
      <c r="F40" s="42"/>
      <c r="G40" s="42"/>
      <c r="H40" s="79"/>
      <c r="I40" s="42"/>
      <c r="J40" s="42"/>
      <c r="K40" s="79"/>
      <c r="L40" s="42"/>
      <c r="M40" s="94"/>
      <c r="N40" s="56"/>
    </row>
    <row r="41" spans="1:14" x14ac:dyDescent="0.2">
      <c r="A41" s="55"/>
      <c r="B41" s="31" t="s">
        <v>39</v>
      </c>
      <c r="C41" s="27"/>
      <c r="E41" s="78">
        <f>'ABM Prescription Audits'!G46</f>
        <v>0</v>
      </c>
      <c r="F41" s="32">
        <f>'ABM Prescription Audits'!H46</f>
        <v>0</v>
      </c>
      <c r="G41" s="43"/>
      <c r="H41" s="78">
        <f>'ABM Prescription Audits'!L46</f>
        <v>0</v>
      </c>
      <c r="I41" s="32">
        <f>'ABM Prescription Audits'!M46</f>
        <v>0</v>
      </c>
      <c r="J41" s="43"/>
      <c r="K41" s="78">
        <f>'ABM Prescription Audits'!Q46</f>
        <v>0</v>
      </c>
      <c r="L41" s="32">
        <f>'ABM Prescription Audits'!R46</f>
        <v>0</v>
      </c>
      <c r="M41" s="93" t="str">
        <f>IFERROR(L41/F41,"-")</f>
        <v>-</v>
      </c>
      <c r="N41" s="56"/>
    </row>
    <row r="42" spans="1:14" x14ac:dyDescent="0.2">
      <c r="A42" s="55"/>
      <c r="E42" s="79"/>
      <c r="F42" s="42"/>
      <c r="G42" s="42"/>
      <c r="H42" s="79"/>
      <c r="I42" s="42"/>
      <c r="J42" s="42"/>
      <c r="K42" s="79"/>
      <c r="L42" s="42"/>
      <c r="M42" s="94"/>
      <c r="N42" s="56"/>
    </row>
    <row r="43" spans="1:14" x14ac:dyDescent="0.2">
      <c r="A43" s="55"/>
      <c r="B43" s="31" t="s">
        <v>100</v>
      </c>
      <c r="C43" s="27"/>
      <c r="E43" s="78">
        <f>'ABM Prescription Audits'!G50</f>
        <v>0</v>
      </c>
      <c r="F43" s="32">
        <f>'ABM Prescription Audits'!H50</f>
        <v>0</v>
      </c>
      <c r="G43" s="43"/>
      <c r="H43" s="78">
        <f>'ABM Prescription Audits'!L50</f>
        <v>0</v>
      </c>
      <c r="I43" s="32">
        <f>'ABM Prescription Audits'!M50</f>
        <v>0</v>
      </c>
      <c r="J43" s="43"/>
      <c r="K43" s="78">
        <f>'ABM Prescription Audits'!Q50</f>
        <v>0</v>
      </c>
      <c r="L43" s="32">
        <f>'ABM Prescription Audits'!R50</f>
        <v>0</v>
      </c>
      <c r="M43" s="93" t="str">
        <f>IFERROR(L43/F43,"-")</f>
        <v>-</v>
      </c>
      <c r="N43" s="56"/>
    </row>
    <row r="44" spans="1:14" x14ac:dyDescent="0.2">
      <c r="A44" s="55"/>
      <c r="E44" s="79"/>
      <c r="F44" s="42"/>
      <c r="G44" s="42"/>
      <c r="H44" s="79"/>
      <c r="I44" s="42"/>
      <c r="J44" s="42"/>
      <c r="K44" s="79"/>
      <c r="L44" s="42"/>
      <c r="M44" s="94"/>
      <c r="N44" s="56"/>
    </row>
    <row r="45" spans="1:14" x14ac:dyDescent="0.2">
      <c r="A45" s="55"/>
      <c r="B45" s="31" t="s">
        <v>48</v>
      </c>
      <c r="C45" s="27"/>
      <c r="E45" s="78">
        <f>'ABM Prescription Audits'!G53</f>
        <v>0</v>
      </c>
      <c r="F45" s="32">
        <f>'ABM Prescription Audits'!H53</f>
        <v>0</v>
      </c>
      <c r="G45" s="43"/>
      <c r="H45" s="78">
        <f>'ABM Prescription Audits'!L53</f>
        <v>0</v>
      </c>
      <c r="I45" s="32">
        <f>'ABM Prescription Audits'!M53</f>
        <v>0</v>
      </c>
      <c r="J45" s="43"/>
      <c r="K45" s="78">
        <f>'ABM Prescription Audits'!Q53</f>
        <v>0</v>
      </c>
      <c r="L45" s="32">
        <f>'ABM Prescription Audits'!R53</f>
        <v>0</v>
      </c>
      <c r="M45" s="93" t="str">
        <f>IFERROR(L45/F45,"-")</f>
        <v>-</v>
      </c>
      <c r="N45" s="56"/>
    </row>
    <row r="46" spans="1:14" x14ac:dyDescent="0.2">
      <c r="A46" s="55"/>
      <c r="E46" s="79"/>
      <c r="F46" s="42"/>
      <c r="G46" s="42"/>
      <c r="H46" s="79"/>
      <c r="I46" s="42"/>
      <c r="J46" s="42"/>
      <c r="K46" s="79"/>
      <c r="L46" s="42"/>
      <c r="M46" s="94"/>
      <c r="N46" s="56"/>
    </row>
    <row r="47" spans="1:14" x14ac:dyDescent="0.2">
      <c r="A47" s="55"/>
      <c r="B47" s="31" t="s">
        <v>106</v>
      </c>
      <c r="C47" s="27"/>
      <c r="E47" s="78">
        <f>'ABM Prescription Audits'!G56</f>
        <v>0</v>
      </c>
      <c r="F47" s="32">
        <f>'ABM Prescription Audits'!H56</f>
        <v>0</v>
      </c>
      <c r="G47" s="43"/>
      <c r="H47" s="78">
        <f>'ABM Prescription Audits'!L56</f>
        <v>0</v>
      </c>
      <c r="I47" s="32">
        <f>'ABM Prescription Audits'!M56</f>
        <v>0</v>
      </c>
      <c r="J47" s="43"/>
      <c r="K47" s="78">
        <f>'ABM Prescription Audits'!Q56</f>
        <v>0</v>
      </c>
      <c r="L47" s="32">
        <f>'ABM Prescription Audits'!R56</f>
        <v>0</v>
      </c>
      <c r="M47" s="93" t="str">
        <f>IFERROR(L47/F47,"-")</f>
        <v>-</v>
      </c>
      <c r="N47" s="56"/>
    </row>
    <row r="48" spans="1:14" x14ac:dyDescent="0.2">
      <c r="A48" s="55"/>
      <c r="E48" s="79"/>
      <c r="F48" s="42"/>
      <c r="G48" s="42"/>
      <c r="H48" s="79"/>
      <c r="I48" s="42"/>
      <c r="J48" s="42"/>
      <c r="K48" s="79"/>
      <c r="L48" s="42"/>
      <c r="M48" s="94"/>
      <c r="N48" s="56"/>
    </row>
    <row r="49" spans="1:15" x14ac:dyDescent="0.2">
      <c r="A49" s="55"/>
      <c r="B49" s="31" t="s">
        <v>156</v>
      </c>
      <c r="C49" s="27"/>
      <c r="E49" s="78">
        <f>'ABM Prescription Audits'!G56</f>
        <v>0</v>
      </c>
      <c r="F49" s="32">
        <f>'ABM Prescription Audits'!H56</f>
        <v>0</v>
      </c>
      <c r="G49" s="43"/>
      <c r="H49" s="78">
        <f>'ABM Prescription Audits'!L56</f>
        <v>0</v>
      </c>
      <c r="I49" s="32">
        <f>'ABM Prescription Audits'!M56</f>
        <v>0</v>
      </c>
      <c r="J49" s="43"/>
      <c r="K49" s="78">
        <f>'ABM Prescription Audits'!Q56</f>
        <v>0</v>
      </c>
      <c r="L49" s="32">
        <f>'ABM Prescription Audits'!R56</f>
        <v>0</v>
      </c>
      <c r="M49" s="93" t="str">
        <f>IFERROR(L49/F49,"-")</f>
        <v>-</v>
      </c>
      <c r="N49" s="56"/>
    </row>
    <row r="50" spans="1:15" x14ac:dyDescent="0.2">
      <c r="A50" s="55"/>
      <c r="E50" s="79"/>
      <c r="F50" s="42"/>
      <c r="G50" s="42"/>
      <c r="H50" s="79"/>
      <c r="I50" s="42"/>
      <c r="J50" s="42"/>
      <c r="K50" s="79"/>
      <c r="L50" s="42"/>
      <c r="M50" s="94"/>
      <c r="N50" s="56"/>
    </row>
    <row r="51" spans="1:15" x14ac:dyDescent="0.2">
      <c r="A51" s="55"/>
      <c r="B51" s="31" t="s">
        <v>157</v>
      </c>
      <c r="C51" s="27"/>
      <c r="E51" s="78">
        <f>'ABM Prescription Audits'!G58</f>
        <v>0</v>
      </c>
      <c r="F51" s="32">
        <f>'ABM Prescription Audits'!H58</f>
        <v>0</v>
      </c>
      <c r="G51" s="43"/>
      <c r="H51" s="78">
        <f>'ABM Prescription Audits'!L58</f>
        <v>200</v>
      </c>
      <c r="I51" s="32">
        <f>'ABM Prescription Audits'!M58</f>
        <v>200</v>
      </c>
      <c r="J51" s="43"/>
      <c r="K51" s="78">
        <f>'ABM Prescription Audits'!Q58</f>
        <v>200</v>
      </c>
      <c r="L51" s="32">
        <f>'ABM Prescription Audits'!R58</f>
        <v>200</v>
      </c>
      <c r="M51" s="93" t="str">
        <f>IFERROR(L51/F51,"-")</f>
        <v>-</v>
      </c>
      <c r="N51" s="56"/>
    </row>
    <row r="52" spans="1:15" x14ac:dyDescent="0.2">
      <c r="A52" s="55"/>
      <c r="E52" s="79"/>
      <c r="F52" s="42"/>
      <c r="G52" s="42"/>
      <c r="H52" s="79"/>
      <c r="I52" s="42"/>
      <c r="J52" s="42"/>
      <c r="K52" s="79"/>
      <c r="L52" s="42"/>
      <c r="M52" s="94"/>
      <c r="N52" s="56"/>
    </row>
    <row r="53" spans="1:15" s="14" customFormat="1" x14ac:dyDescent="0.2">
      <c r="A53" s="63"/>
      <c r="B53" s="70" t="s">
        <v>121</v>
      </c>
      <c r="C53" s="70"/>
      <c r="E53" s="81">
        <f>E37+E39+E41+E43+E45+E47</f>
        <v>0</v>
      </c>
      <c r="F53" s="72">
        <f>F37+F39+F41+F43+F45+F47</f>
        <v>0</v>
      </c>
      <c r="G53" s="43"/>
      <c r="H53" s="81">
        <f>H37+H39+H41+H43+H45+H47+H51</f>
        <v>200</v>
      </c>
      <c r="I53" s="72">
        <f>I37+I39+I41+I43+I45+I47+I51</f>
        <v>200</v>
      </c>
      <c r="J53" s="43"/>
      <c r="K53" s="81">
        <f>K37+K39+K41+K43+K45+K47+K51</f>
        <v>200</v>
      </c>
      <c r="L53" s="72">
        <f>L37+L39+L41+L43+L45+L47+L51</f>
        <v>200</v>
      </c>
      <c r="M53" s="96" t="str">
        <f>IFERROR(L53/F53,"-")</f>
        <v>-</v>
      </c>
      <c r="N53" s="64"/>
    </row>
    <row r="54" spans="1:15" ht="2.1" customHeight="1" x14ac:dyDescent="0.2">
      <c r="A54" s="55"/>
      <c r="E54" s="82"/>
      <c r="H54" s="82"/>
      <c r="K54" s="82"/>
      <c r="M54" s="50"/>
      <c r="N54" s="64"/>
      <c r="O54" s="14"/>
    </row>
    <row r="55" spans="1:15" s="14" customFormat="1" x14ac:dyDescent="0.2">
      <c r="A55" s="63"/>
      <c r="B55" s="67" t="s">
        <v>122</v>
      </c>
      <c r="C55" s="67"/>
      <c r="E55" s="83">
        <f>E53*12</f>
        <v>0</v>
      </c>
      <c r="F55" s="69">
        <f>F53*12</f>
        <v>0</v>
      </c>
      <c r="G55" s="43"/>
      <c r="H55" s="83">
        <f>H51*12</f>
        <v>2400</v>
      </c>
      <c r="I55" s="83">
        <f>I51*12</f>
        <v>2400</v>
      </c>
      <c r="J55" s="43"/>
      <c r="K55" s="83">
        <f>K53*12</f>
        <v>2400</v>
      </c>
      <c r="L55" s="69">
        <f>L53*12</f>
        <v>2400</v>
      </c>
      <c r="M55" s="97" t="str">
        <f>IFERROR(L55/F55,"-")</f>
        <v>-</v>
      </c>
      <c r="N55" s="64"/>
    </row>
    <row r="56" spans="1:15" s="37" customFormat="1" x14ac:dyDescent="0.2">
      <c r="A56" s="65"/>
      <c r="B56" s="44" t="s">
        <v>123</v>
      </c>
      <c r="E56" s="45"/>
      <c r="F56" s="46">
        <f>IFERROR(F53/E53-1,0)</f>
        <v>0</v>
      </c>
      <c r="G56" s="45"/>
      <c r="H56" s="45"/>
      <c r="I56" s="46">
        <f>IFERROR(I53/H53-1,0)</f>
        <v>0</v>
      </c>
      <c r="J56" s="45"/>
      <c r="K56" s="85"/>
      <c r="L56" s="47"/>
      <c r="M56" s="45"/>
      <c r="N56" s="66"/>
    </row>
    <row r="57" spans="1:15" x14ac:dyDescent="0.2">
      <c r="A57" s="55"/>
      <c r="N57" s="64"/>
      <c r="O57" s="14"/>
    </row>
    <row r="58" spans="1:15" ht="5.0999999999999996" customHeight="1" x14ac:dyDescent="0.2">
      <c r="A58" s="55"/>
      <c r="N58" s="56"/>
    </row>
    <row r="59" spans="1:15" s="11" customFormat="1" ht="3" customHeight="1" x14ac:dyDescent="0.2">
      <c r="A59" s="6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62"/>
    </row>
    <row r="60" spans="1:15" s="11" customFormat="1" ht="5.0999999999999996" customHeight="1" x14ac:dyDescent="0.2">
      <c r="A60" s="61"/>
      <c r="N60" s="62"/>
    </row>
    <row r="61" spans="1:15" ht="12.75" x14ac:dyDescent="0.2">
      <c r="A61" s="55"/>
      <c r="B61" s="38" t="s">
        <v>144</v>
      </c>
      <c r="N61" s="56"/>
    </row>
    <row r="62" spans="1:15" ht="13.5" customHeight="1" x14ac:dyDescent="0.2">
      <c r="A62" s="55" t="str">
        <f>'ABM Prescription Audits'!B73</f>
        <v>NUEVO CLIENTE RETAIL (DASHBOARDS)</v>
      </c>
      <c r="N62" s="56"/>
    </row>
    <row r="63" spans="1:15" ht="15" customHeight="1" x14ac:dyDescent="0.2">
      <c r="A63" s="55">
        <f>'ABM Prescription Audits'!B74</f>
        <v>0</v>
      </c>
      <c r="B63" s="9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56"/>
    </row>
    <row r="64" spans="1:15" ht="15" customHeight="1" x14ac:dyDescent="0.2">
      <c r="A64" s="55"/>
      <c r="B64" s="9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56"/>
    </row>
    <row r="65" spans="1:14" ht="15" customHeight="1" x14ac:dyDescent="0.2">
      <c r="A65" s="55"/>
      <c r="B65" s="91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56"/>
    </row>
    <row r="66" spans="1:14" ht="15" customHeight="1" x14ac:dyDescent="0.2">
      <c r="A66" s="55"/>
      <c r="B66" s="91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56"/>
    </row>
    <row r="67" spans="1:14" ht="5.0999999999999996" customHeight="1" x14ac:dyDescent="0.2">
      <c r="A67" s="55"/>
      <c r="N67" s="56"/>
    </row>
    <row r="68" spans="1:14" s="11" customFormat="1" ht="3" customHeight="1" x14ac:dyDescent="0.2">
      <c r="A68" s="6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62"/>
    </row>
    <row r="69" spans="1:14" s="11" customFormat="1" ht="5.0999999999999996" customHeight="1" x14ac:dyDescent="0.2">
      <c r="A69" s="61"/>
      <c r="N69" s="62"/>
    </row>
    <row r="70" spans="1:14" ht="15" customHeight="1" x14ac:dyDescent="0.2">
      <c r="A70" s="55"/>
      <c r="B70" s="38" t="s">
        <v>145</v>
      </c>
      <c r="N70" s="56"/>
    </row>
    <row r="71" spans="1:14" ht="10.15" customHeight="1" x14ac:dyDescent="0.2">
      <c r="A71" s="55"/>
      <c r="N71" s="56"/>
    </row>
    <row r="72" spans="1:14" s="19" customFormat="1" ht="15" customHeight="1" x14ac:dyDescent="0.25">
      <c r="A72" s="59"/>
      <c r="B72" s="39" t="s">
        <v>2</v>
      </c>
      <c r="F72" s="19" t="s">
        <v>146</v>
      </c>
      <c r="G72" s="48"/>
      <c r="H72" s="87" t="s">
        <v>147</v>
      </c>
      <c r="N72" s="60"/>
    </row>
    <row r="73" spans="1:14" ht="10.15" customHeight="1" x14ac:dyDescent="0.2">
      <c r="A73" s="55"/>
      <c r="G73" s="49"/>
      <c r="H73" s="49"/>
      <c r="N73" s="56"/>
    </row>
    <row r="74" spans="1:14" s="19" customFormat="1" ht="15" customHeight="1" x14ac:dyDescent="0.25">
      <c r="A74" s="59"/>
      <c r="B74" s="39" t="s">
        <v>5</v>
      </c>
      <c r="F74" s="19" t="s">
        <v>146</v>
      </c>
      <c r="G74" s="48"/>
      <c r="H74" s="19" t="s">
        <v>147</v>
      </c>
      <c r="N74" s="60"/>
    </row>
    <row r="75" spans="1:14" ht="10.15" customHeight="1" x14ac:dyDescent="0.2">
      <c r="A75" s="55"/>
      <c r="G75" s="49"/>
      <c r="H75" s="49"/>
      <c r="N75" s="56"/>
    </row>
    <row r="76" spans="1:14" s="19" customFormat="1" ht="15" customHeight="1" x14ac:dyDescent="0.25">
      <c r="A76" s="59"/>
      <c r="B76" s="39" t="s">
        <v>6</v>
      </c>
      <c r="F76" s="19" t="s">
        <v>146</v>
      </c>
      <c r="G76" s="48"/>
      <c r="H76" s="87" t="s">
        <v>147</v>
      </c>
      <c r="I76" s="88" t="s">
        <v>119</v>
      </c>
      <c r="J76" s="121"/>
      <c r="K76" s="121"/>
      <c r="N76" s="60"/>
    </row>
    <row r="77" spans="1:14" ht="10.15" customHeight="1" x14ac:dyDescent="0.2">
      <c r="A77" s="55"/>
      <c r="G77" s="49"/>
      <c r="H77" s="49"/>
      <c r="N77" s="56"/>
    </row>
    <row r="78" spans="1:14" s="19" customFormat="1" ht="15" customHeight="1" x14ac:dyDescent="0.25">
      <c r="A78" s="59"/>
      <c r="B78" s="39" t="s">
        <v>148</v>
      </c>
      <c r="F78" s="19" t="s">
        <v>146</v>
      </c>
      <c r="G78" s="48"/>
      <c r="H78" s="87" t="s">
        <v>147</v>
      </c>
      <c r="I78" s="88" t="s">
        <v>149</v>
      </c>
      <c r="J78" s="121"/>
      <c r="K78" s="121"/>
      <c r="N78" s="60"/>
    </row>
    <row r="79" spans="1:14" ht="5.0999999999999996" customHeight="1" x14ac:dyDescent="0.2">
      <c r="A79" s="55"/>
      <c r="N79" s="56"/>
    </row>
    <row r="80" spans="1:14" s="11" customFormat="1" ht="3" customHeight="1" x14ac:dyDescent="0.2">
      <c r="A80" s="6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62"/>
    </row>
    <row r="81" spans="1:14" x14ac:dyDescent="0.2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5"/>
    </row>
  </sheetData>
  <mergeCells count="17">
    <mergeCell ref="C7:E7"/>
    <mergeCell ref="I26:J26"/>
    <mergeCell ref="C21:F21"/>
    <mergeCell ref="L26:M26"/>
    <mergeCell ref="D23:F23"/>
    <mergeCell ref="K24:M24"/>
    <mergeCell ref="E34:F34"/>
    <mergeCell ref="H34:I34"/>
    <mergeCell ref="K34:M34"/>
    <mergeCell ref="C26:E26"/>
    <mergeCell ref="C32:D32"/>
    <mergeCell ref="J78:K78"/>
    <mergeCell ref="L7:M7"/>
    <mergeCell ref="K21:M21"/>
    <mergeCell ref="K23:M23"/>
    <mergeCell ref="J76:K76"/>
    <mergeCell ref="K10:N10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70</xdr:row>
                    <xdr:rowOff>76200</xdr:rowOff>
                  </from>
                  <to>
                    <xdr:col>5</xdr:col>
                    <xdr:colOff>209550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76200</xdr:rowOff>
                  </from>
                  <to>
                    <xdr:col>5</xdr:col>
                    <xdr:colOff>209550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74</xdr:row>
                    <xdr:rowOff>76200</xdr:rowOff>
                  </from>
                  <to>
                    <xdr:col>5</xdr:col>
                    <xdr:colOff>209550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7</xdr:col>
                    <xdr:colOff>133350</xdr:colOff>
                    <xdr:row>70</xdr:row>
                    <xdr:rowOff>76200</xdr:rowOff>
                  </from>
                  <to>
                    <xdr:col>7</xdr:col>
                    <xdr:colOff>333375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7</xdr:col>
                    <xdr:colOff>133350</xdr:colOff>
                    <xdr:row>72</xdr:row>
                    <xdr:rowOff>76200</xdr:rowOff>
                  </from>
                  <to>
                    <xdr:col>7</xdr:col>
                    <xdr:colOff>333375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7</xdr:col>
                    <xdr:colOff>133350</xdr:colOff>
                    <xdr:row>74</xdr:row>
                    <xdr:rowOff>76200</xdr:rowOff>
                  </from>
                  <to>
                    <xdr:col>7</xdr:col>
                    <xdr:colOff>333375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47625</xdr:rowOff>
                  </from>
                  <to>
                    <xdr:col>7</xdr:col>
                    <xdr:colOff>133350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219075</xdr:colOff>
                    <xdr:row>10</xdr:row>
                    <xdr:rowOff>47625</xdr:rowOff>
                  </from>
                  <to>
                    <xdr:col>2</xdr:col>
                    <xdr:colOff>114300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Option Button 15">
              <controlPr defaultSize="0" autoFill="0" autoLine="0" autoPict="0">
                <anchor moveWithCells="1">
                  <from>
                    <xdr:col>7</xdr:col>
                    <xdr:colOff>285750</xdr:colOff>
                    <xdr:row>11</xdr:row>
                    <xdr:rowOff>95250</xdr:rowOff>
                  </from>
                  <to>
                    <xdr:col>8</xdr:col>
                    <xdr:colOff>57150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7</xdr:col>
                    <xdr:colOff>285750</xdr:colOff>
                    <xdr:row>12</xdr:row>
                    <xdr:rowOff>76200</xdr:rowOff>
                  </from>
                  <to>
                    <xdr:col>8</xdr:col>
                    <xdr:colOff>57150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7</xdr:col>
                    <xdr:colOff>285750</xdr:colOff>
                    <xdr:row>13</xdr:row>
                    <xdr:rowOff>76200</xdr:rowOff>
                  </from>
                  <to>
                    <xdr:col>8</xdr:col>
                    <xdr:colOff>57150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76</xdr:row>
                    <xdr:rowOff>76200</xdr:rowOff>
                  </from>
                  <to>
                    <xdr:col>5</xdr:col>
                    <xdr:colOff>209550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7</xdr:col>
                    <xdr:colOff>133350</xdr:colOff>
                    <xdr:row>76</xdr:row>
                    <xdr:rowOff>76200</xdr:rowOff>
                  </from>
                  <to>
                    <xdr:col>7</xdr:col>
                    <xdr:colOff>333375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76</xdr:row>
                    <xdr:rowOff>76200</xdr:rowOff>
                  </from>
                  <to>
                    <xdr:col>5</xdr:col>
                    <xdr:colOff>209550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7</xdr:col>
                    <xdr:colOff>133350</xdr:colOff>
                    <xdr:row>76</xdr:row>
                    <xdr:rowOff>76200</xdr:rowOff>
                  </from>
                  <to>
                    <xdr:col>7</xdr:col>
                    <xdr:colOff>333375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9" name="Check Box 24">
              <controlPr defaultSize="0" autoFill="0" autoLine="0" autoPict="0">
                <anchor moveWithCells="1">
                  <from>
                    <xdr:col>8</xdr:col>
                    <xdr:colOff>361950</xdr:colOff>
                    <xdr:row>21</xdr:row>
                    <xdr:rowOff>47625</xdr:rowOff>
                  </from>
                  <to>
                    <xdr:col>10</xdr:col>
                    <xdr:colOff>133350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0" name="Check Box 25">
              <controlPr defaultSize="0" autoFill="0" autoLine="0" autoPict="0">
                <anchor moveWithCells="1">
                  <from>
                    <xdr:col>8</xdr:col>
                    <xdr:colOff>361950</xdr:colOff>
                    <xdr:row>22</xdr:row>
                    <xdr:rowOff>95250</xdr:rowOff>
                  </from>
                  <to>
                    <xdr:col>10</xdr:col>
                    <xdr:colOff>133350</xdr:colOff>
                    <xdr:row>24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E44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15.71093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16384" width="11.42578125" style="1"/>
  </cols>
  <sheetData>
    <row r="2" spans="1:5" ht="22.5" x14ac:dyDescent="0.3">
      <c r="A2" s="7" t="s">
        <v>10</v>
      </c>
    </row>
    <row r="3" spans="1:5" x14ac:dyDescent="0.25">
      <c r="A3" s="8"/>
      <c r="B3" s="8"/>
      <c r="C3" s="8"/>
      <c r="D3" s="8"/>
      <c r="E3" s="8"/>
    </row>
    <row r="5" spans="1:5" ht="30.75" customHeight="1" x14ac:dyDescent="0.25">
      <c r="A5" s="9" t="s">
        <v>11</v>
      </c>
      <c r="B5" s="9" t="s">
        <v>30</v>
      </c>
      <c r="C5" s="9" t="s">
        <v>51</v>
      </c>
      <c r="D5" s="9" t="s">
        <v>56</v>
      </c>
      <c r="E5" s="9" t="s">
        <v>110</v>
      </c>
    </row>
    <row r="6" spans="1:5" x14ac:dyDescent="0.25">
      <c r="A6" s="10" t="s">
        <v>8</v>
      </c>
      <c r="B6" s="17" t="s">
        <v>46</v>
      </c>
      <c r="C6" s="16" t="s">
        <v>52</v>
      </c>
      <c r="D6" s="16" t="s">
        <v>61</v>
      </c>
      <c r="E6" s="16" t="s">
        <v>111</v>
      </c>
    </row>
    <row r="7" spans="1:5" x14ac:dyDescent="0.25">
      <c r="A7" s="10" t="s">
        <v>12</v>
      </c>
      <c r="B7" s="17" t="s">
        <v>47</v>
      </c>
      <c r="C7" s="17" t="s">
        <v>53</v>
      </c>
      <c r="D7" s="17" t="s">
        <v>60</v>
      </c>
      <c r="E7" s="17" t="s">
        <v>112</v>
      </c>
    </row>
    <row r="8" spans="1:5" x14ac:dyDescent="0.25">
      <c r="A8" s="10" t="s">
        <v>13</v>
      </c>
      <c r="B8" s="17" t="s">
        <v>37</v>
      </c>
      <c r="D8" s="17" t="s">
        <v>59</v>
      </c>
      <c r="E8" s="17" t="s">
        <v>113</v>
      </c>
    </row>
    <row r="9" spans="1:5" x14ac:dyDescent="0.25">
      <c r="A9" s="10" t="s">
        <v>14</v>
      </c>
      <c r="B9" s="17" t="s">
        <v>39</v>
      </c>
      <c r="D9" s="17" t="s">
        <v>62</v>
      </c>
    </row>
    <row r="10" spans="1:5" x14ac:dyDescent="0.25">
      <c r="A10" s="10" t="s">
        <v>15</v>
      </c>
      <c r="B10" s="17" t="s">
        <v>38</v>
      </c>
      <c r="D10" s="17" t="s">
        <v>64</v>
      </c>
    </row>
    <row r="11" spans="1:5" x14ac:dyDescent="0.25">
      <c r="A11" s="10" t="s">
        <v>16</v>
      </c>
      <c r="B11" s="17" t="s">
        <v>156</v>
      </c>
      <c r="D11" s="17" t="s">
        <v>63</v>
      </c>
    </row>
    <row r="12" spans="1:5" x14ac:dyDescent="0.25">
      <c r="A12" s="10" t="s">
        <v>17</v>
      </c>
      <c r="B12" s="17" t="s">
        <v>157</v>
      </c>
      <c r="D12" s="17" t="s">
        <v>65</v>
      </c>
    </row>
    <row r="13" spans="1:5" x14ac:dyDescent="0.25">
      <c r="A13" s="10" t="s">
        <v>18</v>
      </c>
      <c r="B13" s="17" t="s">
        <v>42</v>
      </c>
      <c r="D13" s="17" t="s">
        <v>66</v>
      </c>
    </row>
    <row r="14" spans="1:5" x14ac:dyDescent="0.25">
      <c r="A14" s="10" t="s">
        <v>19</v>
      </c>
      <c r="B14" s="18" t="s">
        <v>34</v>
      </c>
      <c r="D14" s="18" t="s">
        <v>67</v>
      </c>
    </row>
    <row r="15" spans="1:5" x14ac:dyDescent="0.25">
      <c r="A15" s="10" t="s">
        <v>20</v>
      </c>
      <c r="B15" s="17" t="s">
        <v>33</v>
      </c>
      <c r="D15" s="17" t="s">
        <v>68</v>
      </c>
    </row>
    <row r="16" spans="1:5" x14ac:dyDescent="0.25">
      <c r="A16" s="10" t="s">
        <v>21</v>
      </c>
      <c r="B16" s="17" t="s">
        <v>36</v>
      </c>
      <c r="D16" s="17" t="s">
        <v>69</v>
      </c>
    </row>
    <row r="17" spans="1:4" x14ac:dyDescent="0.25">
      <c r="A17" s="10" t="s">
        <v>22</v>
      </c>
      <c r="B17" s="17" t="s">
        <v>41</v>
      </c>
      <c r="D17" s="17" t="s">
        <v>70</v>
      </c>
    </row>
    <row r="18" spans="1:4" x14ac:dyDescent="0.25">
      <c r="A18" s="10" t="s">
        <v>23</v>
      </c>
      <c r="B18" s="17" t="s">
        <v>40</v>
      </c>
      <c r="D18" s="17" t="s">
        <v>71</v>
      </c>
    </row>
    <row r="19" spans="1:4" x14ac:dyDescent="0.25">
      <c r="A19" s="10" t="s">
        <v>24</v>
      </c>
      <c r="B19" s="17" t="s">
        <v>43</v>
      </c>
      <c r="D19" s="17" t="s">
        <v>72</v>
      </c>
    </row>
    <row r="20" spans="1:4" x14ac:dyDescent="0.25">
      <c r="A20" s="10" t="s">
        <v>25</v>
      </c>
      <c r="B20" s="16" t="s">
        <v>44</v>
      </c>
      <c r="D20" s="17" t="s">
        <v>61</v>
      </c>
    </row>
    <row r="21" spans="1:4" x14ac:dyDescent="0.25">
      <c r="A21" s="10" t="s">
        <v>26</v>
      </c>
      <c r="B21" s="17" t="s">
        <v>45</v>
      </c>
      <c r="D21" s="17" t="s">
        <v>73</v>
      </c>
    </row>
    <row r="22" spans="1:4" x14ac:dyDescent="0.25">
      <c r="B22" s="17" t="s">
        <v>48</v>
      </c>
      <c r="D22" s="17" t="s">
        <v>74</v>
      </c>
    </row>
    <row r="23" spans="1:4" x14ac:dyDescent="0.25">
      <c r="B23" s="17" t="s">
        <v>35</v>
      </c>
      <c r="D23" s="17" t="s">
        <v>75</v>
      </c>
    </row>
    <row r="24" spans="1:4" x14ac:dyDescent="0.25">
      <c r="B24" s="17" t="s">
        <v>32</v>
      </c>
      <c r="D24" s="17" t="s">
        <v>76</v>
      </c>
    </row>
    <row r="25" spans="1:4" x14ac:dyDescent="0.25">
      <c r="B25" s="17" t="s">
        <v>31</v>
      </c>
      <c r="D25" s="17" t="s">
        <v>77</v>
      </c>
    </row>
    <row r="26" spans="1:4" x14ac:dyDescent="0.25">
      <c r="D26" s="17" t="s">
        <v>78</v>
      </c>
    </row>
    <row r="27" spans="1:4" x14ac:dyDescent="0.25">
      <c r="D27" s="17" t="s">
        <v>79</v>
      </c>
    </row>
    <row r="28" spans="1:4" x14ac:dyDescent="0.25">
      <c r="D28" s="17" t="s">
        <v>80</v>
      </c>
    </row>
    <row r="29" spans="1:4" x14ac:dyDescent="0.25">
      <c r="D29" s="17" t="s">
        <v>81</v>
      </c>
    </row>
    <row r="30" spans="1:4" x14ac:dyDescent="0.25">
      <c r="D30" s="17" t="s">
        <v>82</v>
      </c>
    </row>
    <row r="31" spans="1:4" x14ac:dyDescent="0.25">
      <c r="D31" s="17" t="s">
        <v>83</v>
      </c>
    </row>
    <row r="32" spans="1:4" x14ac:dyDescent="0.25">
      <c r="D32" s="17" t="s">
        <v>60</v>
      </c>
    </row>
    <row r="33" spans="4:4" x14ac:dyDescent="0.25">
      <c r="D33" s="17" t="s">
        <v>84</v>
      </c>
    </row>
    <row r="34" spans="4:4" x14ac:dyDescent="0.25">
      <c r="D34" s="17" t="s">
        <v>85</v>
      </c>
    </row>
    <row r="35" spans="4:4" x14ac:dyDescent="0.25">
      <c r="D35" s="17" t="s">
        <v>86</v>
      </c>
    </row>
    <row r="36" spans="4:4" x14ac:dyDescent="0.25">
      <c r="D36" s="17" t="s">
        <v>87</v>
      </c>
    </row>
    <row r="37" spans="4:4" x14ac:dyDescent="0.25">
      <c r="D37" s="17" t="s">
        <v>88</v>
      </c>
    </row>
    <row r="38" spans="4:4" x14ac:dyDescent="0.25">
      <c r="D38" s="17" t="s">
        <v>89</v>
      </c>
    </row>
    <row r="39" spans="4:4" x14ac:dyDescent="0.25">
      <c r="D39" s="17" t="s">
        <v>90</v>
      </c>
    </row>
    <row r="40" spans="4:4" x14ac:dyDescent="0.25">
      <c r="D40" s="17" t="s">
        <v>91</v>
      </c>
    </row>
    <row r="41" spans="4:4" x14ac:dyDescent="0.25">
      <c r="D41" s="17" t="s">
        <v>92</v>
      </c>
    </row>
    <row r="42" spans="4:4" x14ac:dyDescent="0.25">
      <c r="D42" s="17" t="s">
        <v>93</v>
      </c>
    </row>
    <row r="43" spans="4:4" x14ac:dyDescent="0.25">
      <c r="D43" s="17" t="s">
        <v>94</v>
      </c>
    </row>
    <row r="44" spans="4:4" x14ac:dyDescent="0.25">
      <c r="D44" s="17" t="s">
        <v>59</v>
      </c>
    </row>
  </sheetData>
  <sortState xmlns:xlrd2="http://schemas.microsoft.com/office/spreadsheetml/2017/richdata2" ref="B6:B25">
    <sortCondition ref="B6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ABM Prescription Audits</vt:lpstr>
      <vt:lpstr>e-mail Form Audits</vt:lpstr>
      <vt:lpstr>Tablas</vt:lpstr>
      <vt:lpstr>'ABM Prescription Audits'!Área_de_impresión</vt:lpstr>
      <vt:lpstr>'e-mail Form Audits'!Área_de_impresión</vt:lpstr>
      <vt:lpstr>Estado_Contractual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2012-12-11T12:38:08Z</cp:lastPrinted>
  <dcterms:created xsi:type="dcterms:W3CDTF">2010-03-29T20:55:58Z</dcterms:created>
  <dcterms:modified xsi:type="dcterms:W3CDTF">2025-05-20T22:29:55Z</dcterms:modified>
</cp:coreProperties>
</file>