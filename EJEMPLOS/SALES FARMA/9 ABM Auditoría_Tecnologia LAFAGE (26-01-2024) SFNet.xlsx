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drawings/drawing2.xml" ContentType="application/vnd.openxmlformats-officedocument.drawing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827"/>
  <workbookPr defaultThemeVersion="124226"/>
  <mc:AlternateContent xmlns:mc="http://schemas.openxmlformats.org/markup-compatibility/2006">
    <mc:Choice Requires="x15">
      <x15ac:absPath xmlns:x15ac="http://schemas.microsoft.com/office/spreadsheetml/2010/11/ac" url="F:\PRESCRIPTION DATA\LABORATORIOS\ABM - CONTRATOS\2024\ABM\"/>
    </mc:Choice>
  </mc:AlternateContent>
  <xr:revisionPtr revIDLastSave="0" documentId="13_ncr:1_{4F517B0F-458F-48AA-937D-186C9D96B137}" xr6:coauthVersionLast="37" xr6:coauthVersionMax="47" xr10:uidLastSave="{00000000-0000-0000-0000-000000000000}"/>
  <bookViews>
    <workbookView xWindow="0" yWindow="0" windowWidth="20490" windowHeight="7545" xr2:uid="{00000000-000D-0000-FFFF-FFFF00000000}"/>
  </bookViews>
  <sheets>
    <sheet name="ABM Technology" sheetId="7" r:id="rId1"/>
    <sheet name="e-mail Form Technology" sheetId="10" r:id="rId2"/>
    <sheet name="Tablas" sheetId="5" r:id="rId3"/>
  </sheets>
  <externalReferences>
    <externalReference r:id="rId4"/>
  </externalReferences>
  <definedNames>
    <definedName name="_xlnm.Print_Area" localSheetId="0">'ABM Technology'!$A$1:$T$98</definedName>
    <definedName name="_xlnm.Print_Area" localSheetId="1">'e-mail Form Technology'!$A$1:$N$100</definedName>
    <definedName name="as">Tablas!$D$6:$D$44</definedName>
    <definedName name="Estado_Contractual" localSheetId="1">[1]Tablas!$C$6:$C$7</definedName>
    <definedName name="Estado_Contractual">Tablas!$C$6:$C$7</definedName>
    <definedName name="Modalidad">Tablas!$F$6:$F$13</definedName>
    <definedName name="Moneda" localSheetId="1">[1]Tablas!$E$6:$E$8</definedName>
    <definedName name="Moneda">Tablas!$E$6:$E$8</definedName>
    <definedName name="País" localSheetId="1">[1]Tablas!$A$6:$A$21</definedName>
    <definedName name="País">Tablas!$A$6:$A$21</definedName>
    <definedName name="Producto" localSheetId="1">[1]Tablas!$B$6:$B$23</definedName>
    <definedName name="Producto">Tablas!$B$6:$B$14</definedName>
    <definedName name="Vigencia" localSheetId="1">[1]Tablas!$D$6:$D$44</definedName>
    <definedName name="Vigencia">Tablas!$D$6:$D$44</definedName>
  </definedNames>
  <calcPr calcId="179021"/>
</workbook>
</file>

<file path=xl/calcChain.xml><?xml version="1.0" encoding="utf-8"?>
<calcChain xmlns="http://schemas.openxmlformats.org/spreadsheetml/2006/main">
  <c r="B80" i="10" l="1"/>
  <c r="G49" i="7"/>
  <c r="G47" i="7"/>
  <c r="G45" i="7"/>
  <c r="H43" i="7"/>
  <c r="G41" i="7"/>
  <c r="H41" i="7" s="1"/>
  <c r="S42" i="7" l="1"/>
  <c r="S44" i="7"/>
  <c r="S46" i="7"/>
  <c r="S48" i="7"/>
  <c r="D23" i="10" l="1"/>
  <c r="R64" i="7" l="1"/>
  <c r="S64" i="7" s="1"/>
  <c r="P64" i="7"/>
  <c r="O64" i="7"/>
  <c r="R62" i="7"/>
  <c r="S62" i="7" s="1"/>
  <c r="P62" i="7"/>
  <c r="O62" i="7"/>
  <c r="R60" i="7"/>
  <c r="S60" i="7" s="1"/>
  <c r="P60" i="7"/>
  <c r="O60" i="7"/>
  <c r="P58" i="7"/>
  <c r="O58" i="7"/>
  <c r="R49" i="7"/>
  <c r="S49" i="7" s="1"/>
  <c r="P49" i="7"/>
  <c r="O49" i="7"/>
  <c r="R47" i="7"/>
  <c r="S47" i="7" s="1"/>
  <c r="P47" i="7"/>
  <c r="O47" i="7"/>
  <c r="R45" i="7"/>
  <c r="S45" i="7" s="1"/>
  <c r="P45" i="7"/>
  <c r="O45" i="7"/>
  <c r="P43" i="7"/>
  <c r="O43" i="7"/>
  <c r="P41" i="7"/>
  <c r="O41" i="7"/>
  <c r="G74" i="10"/>
  <c r="I65" i="10"/>
  <c r="I63" i="10"/>
  <c r="I61" i="10"/>
  <c r="F65" i="10"/>
  <c r="F63" i="10"/>
  <c r="F61" i="10"/>
  <c r="F59" i="10"/>
  <c r="I49" i="10"/>
  <c r="F49" i="10"/>
  <c r="I47" i="10"/>
  <c r="F47" i="10"/>
  <c r="I45" i="10"/>
  <c r="F45" i="10"/>
  <c r="F41" i="10"/>
  <c r="H37" i="10"/>
  <c r="E37" i="10"/>
  <c r="L63" i="10" l="1"/>
  <c r="M63" i="10" s="1"/>
  <c r="L61" i="10"/>
  <c r="M61" i="10" s="1"/>
  <c r="L65" i="10"/>
  <c r="M65" i="10" s="1"/>
  <c r="F67" i="10"/>
  <c r="C32" i="10" l="1"/>
  <c r="I26" i="10"/>
  <c r="C26" i="10"/>
  <c r="K21" i="10"/>
  <c r="C21" i="10"/>
  <c r="K10" i="10"/>
  <c r="L7" i="10"/>
  <c r="L47" i="7" l="1"/>
  <c r="H66" i="7"/>
  <c r="G64" i="7"/>
  <c r="E65" i="10" s="1"/>
  <c r="G62" i="7"/>
  <c r="E63" i="10" s="1"/>
  <c r="G60" i="7"/>
  <c r="E61" i="10" s="1"/>
  <c r="G58" i="7"/>
  <c r="E59" i="10" s="1"/>
  <c r="L49" i="7"/>
  <c r="E49" i="10"/>
  <c r="L45" i="7"/>
  <c r="E45" i="10"/>
  <c r="M41" i="7"/>
  <c r="R58" i="7" l="1"/>
  <c r="I59" i="10"/>
  <c r="I67" i="10" s="1"/>
  <c r="M66" i="7"/>
  <c r="M43" i="7"/>
  <c r="I43" i="10" s="1"/>
  <c r="H41" i="10"/>
  <c r="E43" i="10"/>
  <c r="H49" i="10"/>
  <c r="Q49" i="7"/>
  <c r="K49" i="10" s="1"/>
  <c r="Q60" i="7"/>
  <c r="K61" i="10" s="1"/>
  <c r="H61" i="10"/>
  <c r="H47" i="10"/>
  <c r="Q47" i="7"/>
  <c r="K47" i="10" s="1"/>
  <c r="H43" i="10"/>
  <c r="Q43" i="7"/>
  <c r="K43" i="10" s="1"/>
  <c r="Q62" i="7"/>
  <c r="K63" i="10" s="1"/>
  <c r="H63" i="10"/>
  <c r="Q64" i="7"/>
  <c r="K65" i="10" s="1"/>
  <c r="H65" i="10"/>
  <c r="H45" i="10"/>
  <c r="Q45" i="7"/>
  <c r="K45" i="10" s="1"/>
  <c r="L66" i="7"/>
  <c r="Q58" i="7"/>
  <c r="K59" i="10" s="1"/>
  <c r="H59" i="10"/>
  <c r="E67" i="10"/>
  <c r="F69" i="10" s="1"/>
  <c r="Q41" i="7"/>
  <c r="L49" i="10"/>
  <c r="M49" i="10" s="1"/>
  <c r="E41" i="10"/>
  <c r="E47" i="10"/>
  <c r="L47" i="10"/>
  <c r="M47" i="10" s="1"/>
  <c r="R66" i="7"/>
  <c r="S66" i="7" s="1"/>
  <c r="G66" i="7"/>
  <c r="H67" i="7" s="1"/>
  <c r="L51" i="7"/>
  <c r="L53" i="7" s="1"/>
  <c r="G51" i="7"/>
  <c r="G53" i="7" s="1"/>
  <c r="L45" i="10"/>
  <c r="M45" i="10" s="1"/>
  <c r="S58" i="7" l="1"/>
  <c r="L59" i="10"/>
  <c r="H51" i="10"/>
  <c r="H53" i="10" s="1"/>
  <c r="M51" i="7"/>
  <c r="M53" i="7" s="1"/>
  <c r="I41" i="10"/>
  <c r="I51" i="10" s="1"/>
  <c r="I53" i="10" s="1"/>
  <c r="R41" i="7"/>
  <c r="R43" i="7"/>
  <c r="S43" i="7" s="1"/>
  <c r="F43" i="10"/>
  <c r="F51" i="10" s="1"/>
  <c r="F53" i="10" s="1"/>
  <c r="F71" i="10" s="1"/>
  <c r="H51" i="7"/>
  <c r="H53" i="7" s="1"/>
  <c r="H69" i="7" s="1"/>
  <c r="L69" i="7"/>
  <c r="G69" i="7"/>
  <c r="K67" i="10"/>
  <c r="H67" i="10"/>
  <c r="I69" i="10" s="1"/>
  <c r="K41" i="10"/>
  <c r="K51" i="10" s="1"/>
  <c r="K53" i="10" s="1"/>
  <c r="Q51" i="7"/>
  <c r="Q53" i="7" s="1"/>
  <c r="E51" i="10"/>
  <c r="Q66" i="7"/>
  <c r="M59" i="10" l="1"/>
  <c r="L67" i="10"/>
  <c r="M67" i="10" s="1"/>
  <c r="K71" i="10"/>
  <c r="I71" i="10"/>
  <c r="M69" i="7"/>
  <c r="S41" i="7"/>
  <c r="L41" i="10"/>
  <c r="M41" i="10" s="1"/>
  <c r="I54" i="10"/>
  <c r="H54" i="7"/>
  <c r="R51" i="7"/>
  <c r="R53" i="7" s="1"/>
  <c r="L43" i="10"/>
  <c r="H71" i="10"/>
  <c r="Q69" i="7"/>
  <c r="F54" i="10"/>
  <c r="E53" i="10"/>
  <c r="E71" i="10" s="1"/>
  <c r="M43" i="10" l="1"/>
  <c r="L51" i="10"/>
  <c r="L53" i="10" s="1"/>
  <c r="S51" i="7"/>
  <c r="S53" i="7" l="1"/>
  <c r="R69" i="7"/>
  <c r="S69" i="7" s="1"/>
  <c r="M51" i="10"/>
  <c r="M53" i="10" l="1"/>
  <c r="L71" i="10"/>
  <c r="M71" i="10" s="1"/>
</calcChain>
</file>

<file path=xl/sharedStrings.xml><?xml version="1.0" encoding="utf-8"?>
<sst xmlns="http://schemas.openxmlformats.org/spreadsheetml/2006/main" count="240" uniqueCount="164">
  <si>
    <t>Variación</t>
  </si>
  <si>
    <t>%</t>
  </si>
  <si>
    <t>Renovación Automática</t>
  </si>
  <si>
    <t>Si</t>
  </si>
  <si>
    <t>No</t>
  </si>
  <si>
    <t>Ajuste por Inflación Anual</t>
  </si>
  <si>
    <t>Posee Tipo de cambio fijo</t>
  </si>
  <si>
    <t>ABM de Contratos</t>
  </si>
  <si>
    <t>Argentina</t>
  </si>
  <si>
    <r>
      <t xml:space="preserve">Fecha </t>
    </r>
    <r>
      <rPr>
        <b/>
        <i/>
        <sz val="10"/>
        <color theme="0" tint="-0.499984740745262"/>
        <rFont val="Arial"/>
        <family val="2"/>
      </rPr>
      <t>/ Date:</t>
    </r>
  </si>
  <si>
    <t>Tablas Close-Up International</t>
  </si>
  <si>
    <t>País</t>
  </si>
  <si>
    <t>Brasil</t>
  </si>
  <si>
    <t>México</t>
  </si>
  <si>
    <t>España</t>
  </si>
  <si>
    <t>Chile</t>
  </si>
  <si>
    <t>Perú</t>
  </si>
  <si>
    <t>Colombia</t>
  </si>
  <si>
    <t>Ecuador</t>
  </si>
  <si>
    <t>Paraguay</t>
  </si>
  <si>
    <t>Uruguay</t>
  </si>
  <si>
    <t>Centroamérica</t>
  </si>
  <si>
    <t>Bolivia</t>
  </si>
  <si>
    <t>Venezuela</t>
  </si>
  <si>
    <t>EEUU</t>
  </si>
  <si>
    <t>Portugal</t>
  </si>
  <si>
    <t>Suiza</t>
  </si>
  <si>
    <r>
      <t xml:space="preserve">Cliente Nuevo </t>
    </r>
    <r>
      <rPr>
        <b/>
        <sz val="9"/>
        <color theme="0" tint="-0.499984740745262"/>
        <rFont val="Arial"/>
        <family val="2"/>
      </rPr>
      <t>/ New client</t>
    </r>
  </si>
  <si>
    <r>
      <t xml:space="preserve">Cliente Existente </t>
    </r>
    <r>
      <rPr>
        <b/>
        <sz val="9"/>
        <color theme="0" tint="-0.499984740745262"/>
        <rFont val="Arial"/>
        <family val="2"/>
      </rPr>
      <t>/ Existing client</t>
    </r>
  </si>
  <si>
    <t>Producto</t>
  </si>
  <si>
    <t>Otros</t>
  </si>
  <si>
    <r>
      <rPr>
        <b/>
        <sz val="10"/>
        <color theme="4" tint="-0.499984740745262"/>
        <rFont val="Arial"/>
        <family val="2"/>
      </rPr>
      <t>Datos Contractuales</t>
    </r>
    <r>
      <rPr>
        <b/>
        <i/>
        <sz val="10"/>
        <color theme="1"/>
        <rFont val="Arial"/>
        <family val="2"/>
      </rPr>
      <t xml:space="preserve"> </t>
    </r>
    <r>
      <rPr>
        <b/>
        <i/>
        <sz val="10"/>
        <color theme="0" tint="-0.499984740745262"/>
        <rFont val="Arial"/>
        <family val="2"/>
      </rPr>
      <t>/ Contract data</t>
    </r>
  </si>
  <si>
    <t>Estado de Negociación</t>
  </si>
  <si>
    <t>Presupuesto aprobado</t>
  </si>
  <si>
    <t>Contrato Firmado</t>
  </si>
  <si>
    <r>
      <rPr>
        <b/>
        <sz val="9"/>
        <color theme="1"/>
        <rFont val="Arial"/>
        <family val="2"/>
      </rPr>
      <t xml:space="preserve">Cliente </t>
    </r>
    <r>
      <rPr>
        <b/>
        <i/>
        <sz val="9"/>
        <color theme="0" tint="-0.499984740745262"/>
        <rFont val="Arial"/>
        <family val="2"/>
      </rPr>
      <t>/ Client:</t>
    </r>
  </si>
  <si>
    <r>
      <rPr>
        <b/>
        <sz val="9"/>
        <color theme="1"/>
        <rFont val="Arial"/>
        <family val="2"/>
      </rPr>
      <t>Producto</t>
    </r>
    <r>
      <rPr>
        <b/>
        <i/>
        <sz val="9"/>
        <color theme="1"/>
        <rFont val="Arial"/>
        <family val="2"/>
      </rPr>
      <t xml:space="preserve"> </t>
    </r>
    <r>
      <rPr>
        <b/>
        <i/>
        <sz val="9"/>
        <color theme="0" tint="-0.499984740745262"/>
        <rFont val="Arial"/>
        <family val="2"/>
      </rPr>
      <t>/ Product:</t>
    </r>
  </si>
  <si>
    <t>Vigencia</t>
  </si>
  <si>
    <t>Desde:</t>
  </si>
  <si>
    <t>Hasta:</t>
  </si>
  <si>
    <t>36 meses</t>
  </si>
  <si>
    <t>24 meses</t>
  </si>
  <si>
    <t>12 meses</t>
  </si>
  <si>
    <t>1 mes</t>
  </si>
  <si>
    <t>3 meses</t>
  </si>
  <si>
    <t>2 meses</t>
  </si>
  <si>
    <t>4 meses</t>
  </si>
  <si>
    <t>5 meses</t>
  </si>
  <si>
    <t>6 meses</t>
  </si>
  <si>
    <t>7 meses</t>
  </si>
  <si>
    <t>8 meses</t>
  </si>
  <si>
    <t>9 meses</t>
  </si>
  <si>
    <t>10 meses</t>
  </si>
  <si>
    <t>11 meses</t>
  </si>
  <si>
    <t>13 meses</t>
  </si>
  <si>
    <t>14 meses</t>
  </si>
  <si>
    <t>15 meses</t>
  </si>
  <si>
    <t>16 meses</t>
  </si>
  <si>
    <t>17 meses</t>
  </si>
  <si>
    <t>18 meses</t>
  </si>
  <si>
    <t>19 meses</t>
  </si>
  <si>
    <t>20 meses</t>
  </si>
  <si>
    <t>21 meses</t>
  </si>
  <si>
    <t>22 meses</t>
  </si>
  <si>
    <t>23 meses</t>
  </si>
  <si>
    <t>25 meses</t>
  </si>
  <si>
    <t>26 meses</t>
  </si>
  <si>
    <t>27 meses</t>
  </si>
  <si>
    <t>28 meses</t>
  </si>
  <si>
    <t>29 meses</t>
  </si>
  <si>
    <t>30 meses</t>
  </si>
  <si>
    <t>31 meses</t>
  </si>
  <si>
    <t>32 meses</t>
  </si>
  <si>
    <t>33 meses</t>
  </si>
  <si>
    <t>34 meses</t>
  </si>
  <si>
    <t>35 meses</t>
  </si>
  <si>
    <t>Contrato Actual</t>
  </si>
  <si>
    <t>Cant.</t>
  </si>
  <si>
    <t>Total 
Base</t>
  </si>
  <si>
    <t>Pcio. 
Unit.</t>
  </si>
  <si>
    <t>Total Neto</t>
  </si>
  <si>
    <t>Contrato Anterior</t>
  </si>
  <si>
    <r>
      <t>Fecha de Contrato</t>
    </r>
    <r>
      <rPr>
        <b/>
        <i/>
        <sz val="9"/>
        <color theme="1"/>
        <rFont val="Arial"/>
        <family val="2"/>
      </rPr>
      <t xml:space="preserve"> </t>
    </r>
    <r>
      <rPr>
        <b/>
        <i/>
        <sz val="9"/>
        <color theme="0" tint="-0.499984740745262"/>
        <rFont val="Arial"/>
        <family val="2"/>
      </rPr>
      <t>/ Date of contract:</t>
    </r>
  </si>
  <si>
    <r>
      <t xml:space="preserve">Edición </t>
    </r>
    <r>
      <rPr>
        <b/>
        <i/>
        <sz val="9"/>
        <color theme="0" tint="-0.499984740745262"/>
        <rFont val="Arial"/>
        <family val="2"/>
      </rPr>
      <t>/ Edition</t>
    </r>
  </si>
  <si>
    <r>
      <rPr>
        <b/>
        <sz val="10"/>
        <color theme="4" tint="-0.499984740745262"/>
        <rFont val="Arial"/>
        <family val="2"/>
      </rPr>
      <t xml:space="preserve">Datos Económicos </t>
    </r>
    <r>
      <rPr>
        <b/>
        <i/>
        <sz val="10"/>
        <color theme="1"/>
        <rFont val="Arial"/>
        <family val="2"/>
      </rPr>
      <t xml:space="preserve"> </t>
    </r>
    <r>
      <rPr>
        <b/>
        <i/>
        <sz val="10"/>
        <color theme="0" tint="-0.499984740745262"/>
        <rFont val="Arial"/>
        <family val="2"/>
      </rPr>
      <t>/ Economic data</t>
    </r>
  </si>
  <si>
    <t>Moneda</t>
  </si>
  <si>
    <t>Dólar</t>
  </si>
  <si>
    <t>Euro</t>
  </si>
  <si>
    <t>Real</t>
  </si>
  <si>
    <r>
      <t xml:space="preserve">Moneda </t>
    </r>
    <r>
      <rPr>
        <b/>
        <i/>
        <sz val="9"/>
        <color theme="0" tint="-0.499984740745262"/>
        <rFont val="Arial"/>
        <family val="2"/>
      </rPr>
      <t>/ Currency</t>
    </r>
    <r>
      <rPr>
        <b/>
        <sz val="9"/>
        <color theme="0" tint="-0.499984740745262"/>
        <rFont val="Arial"/>
        <family val="2"/>
      </rPr>
      <t>:</t>
    </r>
  </si>
  <si>
    <r>
      <t xml:space="preserve">Vigencia </t>
    </r>
    <r>
      <rPr>
        <b/>
        <i/>
        <sz val="9"/>
        <color theme="0" tint="-0.499984740745262"/>
        <rFont val="Arial"/>
        <family val="2"/>
      </rPr>
      <t>/ Life</t>
    </r>
    <r>
      <rPr>
        <b/>
        <sz val="9"/>
        <color theme="0" tint="-0.499984740745262"/>
        <rFont val="Arial"/>
        <family val="2"/>
      </rPr>
      <t>:</t>
    </r>
  </si>
  <si>
    <r>
      <t xml:space="preserve">Alta de Producto </t>
    </r>
    <r>
      <rPr>
        <i/>
        <sz val="9"/>
        <color theme="0" tint="-0.499984740745262"/>
        <rFont val="Arial"/>
        <family val="2"/>
      </rPr>
      <t>/ Product Added</t>
    </r>
  </si>
  <si>
    <r>
      <t xml:space="preserve">Modificación - Addendum </t>
    </r>
    <r>
      <rPr>
        <i/>
        <sz val="9"/>
        <color theme="0" tint="-0.499984740745262"/>
        <rFont val="Arial"/>
        <family val="2"/>
      </rPr>
      <t>/ Modification</t>
    </r>
  </si>
  <si>
    <r>
      <t xml:space="preserve">Baja-Cancelación </t>
    </r>
    <r>
      <rPr>
        <i/>
        <sz val="9"/>
        <color theme="0" tint="-0.499984740745262"/>
        <rFont val="Arial"/>
        <family val="2"/>
      </rPr>
      <t>/ Cancellation</t>
    </r>
  </si>
  <si>
    <r>
      <rPr>
        <b/>
        <sz val="10"/>
        <color theme="4" tint="-0.499984740745262"/>
        <rFont val="Arial"/>
        <family val="2"/>
      </rPr>
      <t xml:space="preserve">Claúsulas Contractuales </t>
    </r>
    <r>
      <rPr>
        <b/>
        <i/>
        <sz val="10"/>
        <color theme="1"/>
        <rFont val="Arial"/>
        <family val="2"/>
      </rPr>
      <t xml:space="preserve"> </t>
    </r>
    <r>
      <rPr>
        <b/>
        <i/>
        <sz val="10"/>
        <color theme="0" tint="-0.499984740745262"/>
        <rFont val="Arial"/>
        <family val="2"/>
      </rPr>
      <t>/ Contract Clauses</t>
    </r>
  </si>
  <si>
    <t>TC Fijo</t>
  </si>
  <si>
    <r>
      <t xml:space="preserve">Observaciones &amp; Motivo de cancelación </t>
    </r>
    <r>
      <rPr>
        <b/>
        <sz val="10"/>
        <color theme="1" tint="0.499984740745262"/>
        <rFont val="Arial"/>
        <family val="2"/>
      </rPr>
      <t>/ Observations &amp; Reason for cancellation</t>
    </r>
  </si>
  <si>
    <t>Total Mensual</t>
  </si>
  <si>
    <t>Total Anual</t>
  </si>
  <si>
    <t>% Descuento</t>
  </si>
  <si>
    <r>
      <t xml:space="preserve">Responsable de cuenta </t>
    </r>
    <r>
      <rPr>
        <b/>
        <i/>
        <sz val="9"/>
        <color theme="0" tint="-0.499984740745262"/>
        <rFont val="Arial"/>
        <family val="2"/>
      </rPr>
      <t>/ KAM:</t>
    </r>
  </si>
  <si>
    <t>SFNet</t>
  </si>
  <si>
    <t>Visilab</t>
  </si>
  <si>
    <t>Pharmaceutical BI</t>
  </si>
  <si>
    <t>Close-Up Dashboards</t>
  </si>
  <si>
    <t>Lider File NT</t>
  </si>
  <si>
    <t>Otros Servicios Tecnología</t>
  </si>
  <si>
    <t>Software de Premiacao</t>
  </si>
  <si>
    <t>Publimark</t>
  </si>
  <si>
    <t>Implementacion</t>
  </si>
  <si>
    <t>Modalidad</t>
  </si>
  <si>
    <t>Blackberry by RIM</t>
  </si>
  <si>
    <t>Android Phone</t>
  </si>
  <si>
    <t>Android Tablets</t>
  </si>
  <si>
    <t>H5</t>
  </si>
  <si>
    <t>Ipad by Apple</t>
  </si>
  <si>
    <t>Win 32</t>
  </si>
  <si>
    <t>Solo Web</t>
  </si>
  <si>
    <t>Windows Mobile</t>
  </si>
  <si>
    <t>Licencia de uso</t>
  </si>
  <si>
    <t>Developments (hs)</t>
  </si>
  <si>
    <t>Help Desk</t>
  </si>
  <si>
    <t>Hosting</t>
  </si>
  <si>
    <t>Training</t>
  </si>
  <si>
    <t>Otros serv. mensual</t>
  </si>
  <si>
    <t>Facturación recurrente</t>
  </si>
  <si>
    <t>Facturación esporádica</t>
  </si>
  <si>
    <t>Total Anual (a + b)</t>
  </si>
  <si>
    <t>a)</t>
  </si>
  <si>
    <t>b)</t>
  </si>
  <si>
    <t>Forma de pago de la implementación</t>
  </si>
  <si>
    <t>Payment method of implementation</t>
  </si>
  <si>
    <t>Otros serv. anual</t>
  </si>
  <si>
    <t>Módulos adicionales</t>
  </si>
  <si>
    <t>País:</t>
  </si>
  <si>
    <t>Fecha:</t>
  </si>
  <si>
    <r>
      <rPr>
        <b/>
        <sz val="10"/>
        <color theme="4" tint="-0.499984740745262"/>
        <rFont val="Arial"/>
        <family val="2"/>
      </rPr>
      <t>Notificación</t>
    </r>
    <r>
      <rPr>
        <b/>
        <i/>
        <sz val="10"/>
        <color theme="1"/>
        <rFont val="Arial"/>
        <family val="2"/>
      </rPr>
      <t/>
    </r>
  </si>
  <si>
    <t>Responsable de cuenta:</t>
  </si>
  <si>
    <t>Cliente Nuevo</t>
  </si>
  <si>
    <t>Cliente Existente</t>
  </si>
  <si>
    <t>Alta de cliente</t>
  </si>
  <si>
    <t>Modificación - Addendum</t>
  </si>
  <si>
    <t>Baja-Cancelación</t>
  </si>
  <si>
    <r>
      <rPr>
        <b/>
        <sz val="10"/>
        <color theme="4" tint="-0.499984740745262"/>
        <rFont val="Arial"/>
        <family val="2"/>
      </rPr>
      <t>Datos Contractuales</t>
    </r>
    <r>
      <rPr>
        <b/>
        <i/>
        <sz val="10"/>
        <color theme="1"/>
        <rFont val="Arial"/>
        <family val="2"/>
      </rPr>
      <t/>
    </r>
  </si>
  <si>
    <t>Cliente:</t>
  </si>
  <si>
    <t>Producto:</t>
  </si>
  <si>
    <r>
      <t>Fecha de Contrato</t>
    </r>
    <r>
      <rPr>
        <b/>
        <i/>
        <sz val="9"/>
        <color theme="1"/>
        <rFont val="Arial"/>
        <family val="2"/>
      </rPr>
      <t>:</t>
    </r>
  </si>
  <si>
    <t>Estado:</t>
  </si>
  <si>
    <t>Vigencia:</t>
  </si>
  <si>
    <t>Edición</t>
  </si>
  <si>
    <r>
      <rPr>
        <b/>
        <sz val="10"/>
        <color theme="4" tint="-0.499984740745262"/>
        <rFont val="Arial"/>
        <family val="2"/>
      </rPr>
      <t>Datos Económicos</t>
    </r>
    <r>
      <rPr>
        <b/>
        <i/>
        <sz val="10"/>
        <color theme="1"/>
        <rFont val="Arial"/>
        <family val="2"/>
      </rPr>
      <t/>
    </r>
  </si>
  <si>
    <t>Moneda:</t>
  </si>
  <si>
    <t>Total 
Neto</t>
  </si>
  <si>
    <t>Observaciones &amp; Motivo de cancelación:</t>
  </si>
  <si>
    <t>Claúsulas Contractuales</t>
  </si>
  <si>
    <t xml:space="preserve">       Si</t>
  </si>
  <si>
    <t xml:space="preserve">             No</t>
  </si>
  <si>
    <t>Posee Tipo de cambio tope</t>
  </si>
  <si>
    <t>TC Tope</t>
  </si>
  <si>
    <t>Estado contractual:</t>
  </si>
  <si>
    <t>RONALD CARDOZO</t>
  </si>
  <si>
    <t>LAFAGE</t>
  </si>
  <si>
    <t xml:space="preserve">SEGUNDO AÑO - SFNET </t>
  </si>
  <si>
    <t>BOLIVIA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</si>
</sst>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_ * #,##0_ ;_ * \-#,##0_ ;_ * &quot;-&quot;_ ;_ @_ "/>
    <numFmt numFmtId="166" formatCode="#,##0.0000"/>
  </numFmts>
  <fonts count="3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1"/>
      <name val="Arial"/>
      <family val="2"/>
    </font>
    <font>
      <b/>
      <i/>
      <sz val="10"/>
      <color theme="0" tint="-0.499984740745262"/>
      <name val="Arial"/>
      <family val="2"/>
    </font>
    <font>
      <b/>
      <sz val="9"/>
      <color theme="1"/>
      <name val="Arial"/>
      <family val="2"/>
    </font>
    <font>
      <b/>
      <i/>
      <sz val="9"/>
      <color theme="0" tint="-0.499984740745262"/>
      <name val="Arial"/>
      <family val="2"/>
    </font>
    <font>
      <sz val="20"/>
      <color theme="4" tint="-0.499984740745262"/>
      <name val="Calibri"/>
      <family val="2"/>
      <scheme val="minor"/>
    </font>
    <font>
      <b/>
      <i/>
      <sz val="9"/>
      <color theme="1"/>
      <name val="Arial"/>
      <family val="2"/>
    </font>
    <font>
      <b/>
      <sz val="18"/>
      <color theme="1"/>
      <name val="Lucida Sans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b/>
      <sz val="9"/>
      <color theme="0" tint="-0.499984740745262"/>
      <name val="Arial"/>
      <family val="2"/>
    </font>
    <font>
      <sz val="11"/>
      <color theme="1"/>
      <name val="Arial"/>
      <family val="2"/>
    </font>
    <font>
      <sz val="9"/>
      <color theme="1"/>
      <name val="Arial"/>
      <family val="2"/>
    </font>
    <font>
      <i/>
      <sz val="9"/>
      <color theme="1" tint="0.249977111117893"/>
      <name val="Arial"/>
      <family val="2"/>
    </font>
    <font>
      <b/>
      <i/>
      <sz val="10"/>
      <color theme="1"/>
      <name val="Arial"/>
      <family val="2"/>
    </font>
    <font>
      <sz val="11"/>
      <name val="Calibri"/>
      <family val="2"/>
    </font>
    <font>
      <b/>
      <sz val="10"/>
      <color theme="4" tint="-0.499984740745262"/>
      <name val="Arial"/>
      <family val="2"/>
    </font>
    <font>
      <sz val="9"/>
      <color theme="0"/>
      <name val="Arial"/>
      <family val="2"/>
    </font>
    <font>
      <b/>
      <sz val="9"/>
      <name val="Arial"/>
      <family val="2"/>
    </font>
    <font>
      <b/>
      <sz val="8"/>
      <color theme="1"/>
      <name val="Arial"/>
      <family val="2"/>
    </font>
    <font>
      <i/>
      <sz val="9"/>
      <color theme="0" tint="-0.499984740745262"/>
      <name val="Arial"/>
      <family val="2"/>
    </font>
    <font>
      <b/>
      <sz val="9"/>
      <color theme="5" tint="-0.499984740745262"/>
      <name val="Arial"/>
      <family val="2"/>
    </font>
    <font>
      <b/>
      <i/>
      <sz val="9"/>
      <color theme="5" tint="-0.499984740745262"/>
      <name val="Arial"/>
      <family val="2"/>
    </font>
    <font>
      <sz val="9"/>
      <color theme="1" tint="0.249977111117893"/>
      <name val="Arial"/>
      <family val="2"/>
    </font>
    <font>
      <b/>
      <sz val="10"/>
      <color theme="1" tint="0.499984740745262"/>
      <name val="Arial"/>
      <family val="2"/>
    </font>
    <font>
      <sz val="9"/>
      <color theme="9" tint="-0.499984740745262"/>
      <name val="Arial"/>
      <family val="2"/>
    </font>
    <font>
      <b/>
      <sz val="9"/>
      <color theme="9" tint="-0.499984740745262"/>
      <name val="Arial"/>
      <family val="2"/>
    </font>
    <font>
      <b/>
      <sz val="9"/>
      <color theme="4" tint="-0.499984740745262"/>
      <name val="Arial"/>
      <family val="2"/>
    </font>
    <font>
      <sz val="9"/>
      <color theme="4" tint="-0.499984740745262"/>
      <name val="Arial"/>
      <family val="2"/>
    </font>
    <font>
      <b/>
      <i/>
      <sz val="9"/>
      <color theme="4" tint="-0.249977111117893"/>
      <name val="Arial"/>
      <family val="2"/>
    </font>
    <font>
      <b/>
      <i/>
      <sz val="9"/>
      <color theme="1" tint="0.249977111117893"/>
      <name val="Arial"/>
      <family val="2"/>
    </font>
    <font>
      <b/>
      <sz val="9"/>
      <color theme="1" tint="0.249977111117893"/>
      <name val="Arial"/>
      <family val="2"/>
    </font>
    <font>
      <sz val="8"/>
      <color theme="1"/>
      <name val="Arial"/>
      <family val="2"/>
    </font>
    <font>
      <b/>
      <sz val="9"/>
      <color theme="3" tint="-0.499984740745262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theme="5" tint="-0.24994659260841701"/>
      </bottom>
      <diagonal/>
    </border>
    <border>
      <left/>
      <right/>
      <top/>
      <bottom style="thin">
        <color indexed="64"/>
      </bottom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theme="1" tint="0.24994659260841701"/>
      </left>
      <right style="thin">
        <color theme="1" tint="0.24994659260841701"/>
      </right>
      <top style="thin">
        <color theme="1" tint="0.24994659260841701"/>
      </top>
      <bottom style="thin">
        <color theme="1" tint="0.24994659260841701"/>
      </bottom>
      <diagonal/>
    </border>
    <border>
      <left style="thin">
        <color theme="1" tint="0.24994659260841701"/>
      </left>
      <right/>
      <top style="thin">
        <color theme="1" tint="0.24994659260841701"/>
      </top>
      <bottom style="thin">
        <color theme="1" tint="0.24994659260841701"/>
      </bottom>
      <diagonal/>
    </border>
    <border>
      <left/>
      <right/>
      <top style="thin">
        <color theme="1" tint="0.24994659260841701"/>
      </top>
      <bottom style="thin">
        <color theme="1" tint="0.24994659260841701"/>
      </bottom>
      <diagonal/>
    </border>
    <border>
      <left/>
      <right style="thin">
        <color theme="1" tint="0.24994659260841701"/>
      </right>
      <top style="thin">
        <color theme="1" tint="0.24994659260841701"/>
      </top>
      <bottom style="thin">
        <color theme="1" tint="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/>
      <right/>
      <top style="thin">
        <color theme="0" tint="-0.24994659260841701"/>
      </top>
      <bottom style="thin">
        <color theme="0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/>
      <top/>
      <bottom style="medium">
        <color theme="0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1" fillId="0" borderId="0"/>
  </cellStyleXfs>
  <cellXfs count="127">
    <xf numFmtId="0" fontId="0" fillId="0" borderId="0" xfId="0"/>
    <xf numFmtId="0" fontId="0" fillId="2" borderId="0" xfId="0" applyFill="1"/>
    <xf numFmtId="0" fontId="4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0" fillId="2" borderId="1" xfId="0" applyFill="1" applyBorder="1"/>
    <xf numFmtId="0" fontId="8" fillId="2" borderId="0" xfId="0" applyFont="1" applyFill="1"/>
    <xf numFmtId="0" fontId="2" fillId="2" borderId="0" xfId="0" applyFont="1" applyFill="1"/>
    <xf numFmtId="0" fontId="10" fillId="2" borderId="0" xfId="0" applyFont="1" applyFill="1"/>
    <xf numFmtId="0" fontId="0" fillId="2" borderId="2" xfId="0" applyFill="1" applyBorder="1"/>
    <xf numFmtId="0" fontId="3" fillId="4" borderId="0" xfId="0" applyFont="1" applyFill="1" applyAlignment="1">
      <alignment vertical="center" wrapText="1"/>
    </xf>
    <xf numFmtId="0" fontId="12" fillId="0" borderId="3" xfId="2" applyFont="1" applyBorder="1"/>
    <xf numFmtId="0" fontId="14" fillId="2" borderId="0" xfId="0" applyFont="1" applyFill="1"/>
    <xf numFmtId="0" fontId="14" fillId="2" borderId="1" xfId="0" applyFont="1" applyFill="1" applyBorder="1"/>
    <xf numFmtId="0" fontId="15" fillId="2" borderId="0" xfId="0" applyFont="1" applyFill="1"/>
    <xf numFmtId="0" fontId="6" fillId="2" borderId="0" xfId="0" applyFont="1" applyFill="1"/>
    <xf numFmtId="0" fontId="12" fillId="0" borderId="4" xfId="2" applyFont="1" applyBorder="1" applyAlignment="1">
      <alignment wrapText="1"/>
    </xf>
    <xf numFmtId="0" fontId="12" fillId="0" borderId="4" xfId="2" applyFont="1" applyBorder="1"/>
    <xf numFmtId="0" fontId="18" fillId="0" borderId="4" xfId="2" applyFont="1" applyBorder="1"/>
    <xf numFmtId="0" fontId="15" fillId="2" borderId="0" xfId="0" applyFont="1" applyFill="1" applyAlignment="1">
      <alignment vertical="center"/>
    </xf>
    <xf numFmtId="0" fontId="20" fillId="5" borderId="5" xfId="0" applyFont="1" applyFill="1" applyBorder="1" applyAlignment="1">
      <alignment vertical="center"/>
    </xf>
    <xf numFmtId="0" fontId="20" fillId="5" borderId="5" xfId="0" applyFont="1" applyFill="1" applyBorder="1" applyAlignment="1">
      <alignment horizontal="center" wrapText="1"/>
    </xf>
    <xf numFmtId="0" fontId="20" fillId="4" borderId="5" xfId="0" applyFont="1" applyFill="1" applyBorder="1" applyAlignment="1">
      <alignment horizontal="center" wrapText="1"/>
    </xf>
    <xf numFmtId="0" fontId="15" fillId="2" borderId="9" xfId="0" applyFont="1" applyFill="1" applyBorder="1"/>
    <xf numFmtId="0" fontId="15" fillId="2" borderId="10" xfId="0" applyFont="1" applyFill="1" applyBorder="1"/>
    <xf numFmtId="0" fontId="15" fillId="3" borderId="10" xfId="0" applyFont="1" applyFill="1" applyBorder="1"/>
    <xf numFmtId="165" fontId="6" fillId="3" borderId="10" xfId="0" applyNumberFormat="1" applyFont="1" applyFill="1" applyBorder="1"/>
    <xf numFmtId="165" fontId="6" fillId="8" borderId="10" xfId="0" applyNumberFormat="1" applyFont="1" applyFill="1" applyBorder="1"/>
    <xf numFmtId="0" fontId="20" fillId="5" borderId="5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right" vertical="center"/>
    </xf>
    <xf numFmtId="0" fontId="24" fillId="2" borderId="0" xfId="0" applyFont="1" applyFill="1"/>
    <xf numFmtId="0" fontId="19" fillId="2" borderId="0" xfId="0" applyFont="1" applyFill="1" applyAlignment="1">
      <alignment horizontal="left" vertical="center"/>
    </xf>
    <xf numFmtId="0" fontId="6" fillId="2" borderId="0" xfId="0" applyFont="1" applyFill="1" applyAlignment="1">
      <alignment vertical="center"/>
    </xf>
    <xf numFmtId="0" fontId="16" fillId="2" borderId="0" xfId="0" applyFont="1" applyFill="1"/>
    <xf numFmtId="0" fontId="6" fillId="2" borderId="0" xfId="0" applyFont="1" applyFill="1" applyAlignment="1">
      <alignment horizontal="right"/>
    </xf>
    <xf numFmtId="165" fontId="6" fillId="2" borderId="0" xfId="0" applyNumberFormat="1" applyFont="1" applyFill="1"/>
    <xf numFmtId="0" fontId="25" fillId="2" borderId="0" xfId="0" applyFont="1" applyFill="1"/>
    <xf numFmtId="165" fontId="24" fillId="2" borderId="0" xfId="0" applyNumberFormat="1" applyFont="1" applyFill="1"/>
    <xf numFmtId="9" fontId="24" fillId="2" borderId="0" xfId="1" applyFont="1" applyFill="1" applyBorder="1"/>
    <xf numFmtId="9" fontId="24" fillId="2" borderId="0" xfId="0" applyNumberFormat="1" applyFont="1" applyFill="1"/>
    <xf numFmtId="0" fontId="26" fillId="2" borderId="0" xfId="0" applyFont="1" applyFill="1" applyAlignment="1">
      <alignment horizontal="right" vertical="center"/>
    </xf>
    <xf numFmtId="0" fontId="26" fillId="2" borderId="0" xfId="0" applyFont="1" applyFill="1" applyAlignment="1">
      <alignment horizontal="right"/>
    </xf>
    <xf numFmtId="0" fontId="15" fillId="2" borderId="0" xfId="0" applyFont="1" applyFill="1" applyAlignment="1">
      <alignment horizontal="right"/>
    </xf>
    <xf numFmtId="0" fontId="9" fillId="2" borderId="0" xfId="0" applyFont="1" applyFill="1" applyAlignment="1">
      <alignment vertical="center"/>
    </xf>
    <xf numFmtId="0" fontId="15" fillId="2" borderId="11" xfId="0" applyFont="1" applyFill="1" applyBorder="1"/>
    <xf numFmtId="0" fontId="15" fillId="2" borderId="12" xfId="0" applyFont="1" applyFill="1" applyBorder="1"/>
    <xf numFmtId="0" fontId="15" fillId="2" borderId="13" xfId="0" applyFont="1" applyFill="1" applyBorder="1"/>
    <xf numFmtId="0" fontId="15" fillId="2" borderId="14" xfId="0" applyFont="1" applyFill="1" applyBorder="1"/>
    <xf numFmtId="0" fontId="15" fillId="2" borderId="15" xfId="0" applyFont="1" applyFill="1" applyBorder="1"/>
    <xf numFmtId="0" fontId="0" fillId="2" borderId="14" xfId="0" applyFill="1" applyBorder="1"/>
    <xf numFmtId="0" fontId="0" fillId="2" borderId="15" xfId="0" applyFill="1" applyBorder="1"/>
    <xf numFmtId="0" fontId="15" fillId="2" borderId="14" xfId="0" applyFont="1" applyFill="1" applyBorder="1" applyAlignment="1">
      <alignment vertical="center"/>
    </xf>
    <xf numFmtId="0" fontId="15" fillId="2" borderId="15" xfId="0" applyFont="1" applyFill="1" applyBorder="1" applyAlignment="1">
      <alignment vertical="center"/>
    </xf>
    <xf numFmtId="0" fontId="14" fillId="2" borderId="14" xfId="0" applyFont="1" applyFill="1" applyBorder="1"/>
    <xf numFmtId="0" fontId="14" fillId="2" borderId="15" xfId="0" applyFont="1" applyFill="1" applyBorder="1"/>
    <xf numFmtId="0" fontId="6" fillId="2" borderId="14" xfId="0" applyFont="1" applyFill="1" applyBorder="1"/>
    <xf numFmtId="0" fontId="6" fillId="2" borderId="15" xfId="0" applyFont="1" applyFill="1" applyBorder="1"/>
    <xf numFmtId="0" fontId="24" fillId="2" borderId="15" xfId="0" applyFont="1" applyFill="1" applyBorder="1"/>
    <xf numFmtId="0" fontId="6" fillId="7" borderId="9" xfId="0" applyFont="1" applyFill="1" applyBorder="1"/>
    <xf numFmtId="165" fontId="6" fillId="7" borderId="9" xfId="0" applyNumberFormat="1" applyFont="1" applyFill="1" applyBorder="1"/>
    <xf numFmtId="165" fontId="6" fillId="6" borderId="9" xfId="0" applyNumberFormat="1" applyFont="1" applyFill="1" applyBorder="1"/>
    <xf numFmtId="0" fontId="6" fillId="7" borderId="16" xfId="0" applyFont="1" applyFill="1" applyBorder="1"/>
    <xf numFmtId="165" fontId="6" fillId="7" borderId="16" xfId="0" applyNumberFormat="1" applyFont="1" applyFill="1" applyBorder="1"/>
    <xf numFmtId="165" fontId="6" fillId="6" borderId="16" xfId="0" applyNumberFormat="1" applyFont="1" applyFill="1" applyBorder="1"/>
    <xf numFmtId="0" fontId="28" fillId="2" borderId="0" xfId="0" applyFont="1" applyFill="1"/>
    <xf numFmtId="0" fontId="29" fillId="2" borderId="0" xfId="0" applyFont="1" applyFill="1"/>
    <xf numFmtId="0" fontId="30" fillId="2" borderId="14" xfId="0" applyFont="1" applyFill="1" applyBorder="1"/>
    <xf numFmtId="0" fontId="31" fillId="2" borderId="0" xfId="0" applyFont="1" applyFill="1"/>
    <xf numFmtId="0" fontId="31" fillId="2" borderId="14" xfId="0" applyFont="1" applyFill="1" applyBorder="1"/>
    <xf numFmtId="0" fontId="32" fillId="2" borderId="0" xfId="0" applyFont="1" applyFill="1"/>
    <xf numFmtId="0" fontId="23" fillId="2" borderId="0" xfId="0" applyFont="1" applyFill="1"/>
    <xf numFmtId="0" fontId="24" fillId="2" borderId="15" xfId="0" applyFont="1" applyFill="1" applyBorder="1" applyAlignment="1">
      <alignment vertical="center"/>
    </xf>
    <xf numFmtId="0" fontId="24" fillId="2" borderId="0" xfId="0" applyFont="1" applyFill="1" applyAlignment="1">
      <alignment vertical="center"/>
    </xf>
    <xf numFmtId="0" fontId="15" fillId="2" borderId="0" xfId="0" applyFont="1" applyFill="1" applyAlignment="1">
      <alignment horizontal="right" vertical="center"/>
    </xf>
    <xf numFmtId="0" fontId="17" fillId="2" borderId="0" xfId="0" applyFont="1" applyFill="1" applyAlignment="1">
      <alignment horizontal="right" vertical="center"/>
    </xf>
    <xf numFmtId="14" fontId="15" fillId="3" borderId="0" xfId="0" applyNumberFormat="1" applyFont="1" applyFill="1" applyAlignment="1">
      <alignment horizontal="left" vertical="center"/>
    </xf>
    <xf numFmtId="0" fontId="6" fillId="2" borderId="0" xfId="0" applyFont="1" applyFill="1" applyAlignment="1">
      <alignment horizontal="right" vertical="center"/>
    </xf>
    <xf numFmtId="0" fontId="33" fillId="2" borderId="0" xfId="0" applyFont="1" applyFill="1" applyAlignment="1">
      <alignment horizontal="right" vertical="center"/>
    </xf>
    <xf numFmtId="165" fontId="26" fillId="2" borderId="0" xfId="0" applyNumberFormat="1" applyFont="1" applyFill="1"/>
    <xf numFmtId="165" fontId="15" fillId="2" borderId="0" xfId="0" applyNumberFormat="1" applyFont="1" applyFill="1"/>
    <xf numFmtId="165" fontId="34" fillId="7" borderId="16" xfId="0" applyNumberFormat="1" applyFont="1" applyFill="1" applyBorder="1"/>
    <xf numFmtId="0" fontId="26" fillId="2" borderId="0" xfId="0" applyFont="1" applyFill="1"/>
    <xf numFmtId="165" fontId="34" fillId="7" borderId="9" xfId="0" applyNumberFormat="1" applyFont="1" applyFill="1" applyBorder="1"/>
    <xf numFmtId="0" fontId="24" fillId="2" borderId="14" xfId="0" applyFont="1" applyFill="1" applyBorder="1"/>
    <xf numFmtId="165" fontId="34" fillId="2" borderId="0" xfId="0" applyNumberFormat="1" applyFont="1" applyFill="1"/>
    <xf numFmtId="0" fontId="15" fillId="2" borderId="9" xfId="0" applyFont="1" applyFill="1" applyBorder="1" applyAlignment="1">
      <alignment horizontal="left"/>
    </xf>
    <xf numFmtId="0" fontId="15" fillId="2" borderId="0" xfId="0" applyFont="1" applyFill="1" applyAlignment="1">
      <alignment horizontal="left" vertical="center"/>
    </xf>
    <xf numFmtId="0" fontId="9" fillId="2" borderId="0" xfId="0" applyFont="1" applyFill="1" applyAlignment="1">
      <alignment horizontal="right" vertical="center"/>
    </xf>
    <xf numFmtId="0" fontId="15" fillId="2" borderId="17" xfId="0" applyFont="1" applyFill="1" applyBorder="1"/>
    <xf numFmtId="0" fontId="15" fillId="2" borderId="18" xfId="0" applyFont="1" applyFill="1" applyBorder="1"/>
    <xf numFmtId="0" fontId="15" fillId="2" borderId="19" xfId="0" applyFont="1" applyFill="1" applyBorder="1"/>
    <xf numFmtId="0" fontId="15" fillId="3" borderId="10" xfId="0" applyFont="1" applyFill="1" applyBorder="1" applyAlignment="1">
      <alignment vertical="center"/>
    </xf>
    <xf numFmtId="165" fontId="34" fillId="3" borderId="10" xfId="0" applyNumberFormat="1" applyFont="1" applyFill="1" applyBorder="1" applyAlignment="1">
      <alignment vertical="center"/>
    </xf>
    <xf numFmtId="165" fontId="6" fillId="8" borderId="10" xfId="0" applyNumberFormat="1" applyFont="1" applyFill="1" applyBorder="1" applyAlignment="1">
      <alignment vertical="center"/>
    </xf>
    <xf numFmtId="165" fontId="6" fillId="2" borderId="0" xfId="0" applyNumberFormat="1" applyFont="1" applyFill="1" applyAlignment="1">
      <alignment vertical="center"/>
    </xf>
    <xf numFmtId="165" fontId="26" fillId="2" borderId="0" xfId="0" applyNumberFormat="1" applyFont="1" applyFill="1" applyAlignment="1">
      <alignment vertical="center"/>
    </xf>
    <xf numFmtId="165" fontId="15" fillId="2" borderId="0" xfId="0" applyNumberFormat="1" applyFont="1" applyFill="1" applyAlignment="1">
      <alignment vertical="center"/>
    </xf>
    <xf numFmtId="9" fontId="22" fillId="8" borderId="10" xfId="1" applyFont="1" applyFill="1" applyBorder="1" applyAlignment="1">
      <alignment horizontal="right"/>
    </xf>
    <xf numFmtId="9" fontId="22" fillId="6" borderId="16" xfId="1" applyFont="1" applyFill="1" applyBorder="1" applyAlignment="1">
      <alignment horizontal="right"/>
    </xf>
    <xf numFmtId="9" fontId="22" fillId="6" borderId="9" xfId="1" applyFont="1" applyFill="1" applyBorder="1" applyAlignment="1">
      <alignment horizontal="right"/>
    </xf>
    <xf numFmtId="165" fontId="24" fillId="2" borderId="0" xfId="0" applyNumberFormat="1" applyFont="1" applyFill="1" applyAlignment="1">
      <alignment horizontal="right"/>
    </xf>
    <xf numFmtId="0" fontId="15" fillId="3" borderId="0" xfId="0" applyFont="1" applyFill="1" applyAlignment="1">
      <alignment vertical="center"/>
    </xf>
    <xf numFmtId="0" fontId="36" fillId="3" borderId="20" xfId="0" applyFont="1" applyFill="1" applyBorder="1" applyAlignment="1">
      <alignment vertical="center"/>
    </xf>
    <xf numFmtId="0" fontId="36" fillId="3" borderId="0" xfId="0" applyFont="1" applyFill="1" applyAlignment="1">
      <alignment vertical="center"/>
    </xf>
    <xf numFmtId="0" fontId="15" fillId="3" borderId="20" xfId="0" applyFont="1" applyFill="1" applyBorder="1" applyAlignment="1">
      <alignment vertical="center"/>
    </xf>
    <xf numFmtId="9" fontId="22" fillId="8" borderId="10" xfId="1" applyFont="1" applyFill="1" applyBorder="1" applyAlignment="1">
      <alignment horizontal="right" vertical="center"/>
    </xf>
    <xf numFmtId="9" fontId="35" fillId="2" borderId="0" xfId="1" applyFont="1" applyFill="1" applyBorder="1" applyAlignment="1">
      <alignment horizontal="right"/>
    </xf>
    <xf numFmtId="9" fontId="35" fillId="2" borderId="0" xfId="1" applyFont="1" applyFill="1" applyBorder="1" applyAlignment="1">
      <alignment horizontal="right" vertical="center"/>
    </xf>
    <xf numFmtId="164" fontId="15" fillId="2" borderId="0" xfId="0" applyNumberFormat="1" applyFont="1" applyFill="1"/>
    <xf numFmtId="0" fontId="15" fillId="3" borderId="0" xfId="0" applyFont="1" applyFill="1" applyAlignment="1">
      <alignment horizontal="left" vertical="center"/>
    </xf>
    <xf numFmtId="14" fontId="15" fillId="3" borderId="0" xfId="0" applyNumberFormat="1" applyFont="1" applyFill="1"/>
    <xf numFmtId="14" fontId="15" fillId="3" borderId="0" xfId="0" applyNumberFormat="1" applyFont="1" applyFill="1" applyAlignment="1">
      <alignment horizontal="center" vertical="center"/>
    </xf>
    <xf numFmtId="0" fontId="15" fillId="3" borderId="0" xfId="0" applyFont="1" applyFill="1" applyAlignment="1">
      <alignment horizontal="center" vertical="center"/>
    </xf>
    <xf numFmtId="17" fontId="15" fillId="3" borderId="0" xfId="0" applyNumberFormat="1" applyFont="1" applyFill="1" applyAlignment="1">
      <alignment horizontal="center"/>
    </xf>
    <xf numFmtId="17" fontId="15" fillId="3" borderId="15" xfId="0" applyNumberFormat="1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21" fillId="7" borderId="6" xfId="0" applyFont="1" applyFill="1" applyBorder="1" applyAlignment="1">
      <alignment horizontal="center" vertical="center"/>
    </xf>
    <xf numFmtId="0" fontId="21" fillId="7" borderId="7" xfId="0" applyFont="1" applyFill="1" applyBorder="1" applyAlignment="1">
      <alignment horizontal="center" vertical="center"/>
    </xf>
    <xf numFmtId="0" fontId="21" fillId="7" borderId="8" xfId="0" applyFont="1" applyFill="1" applyBorder="1" applyAlignment="1">
      <alignment horizontal="center" vertical="center"/>
    </xf>
    <xf numFmtId="0" fontId="15" fillId="3" borderId="0" xfId="0" applyFont="1" applyFill="1" applyAlignment="1">
      <alignment horizontal="center"/>
    </xf>
    <xf numFmtId="0" fontId="29" fillId="3" borderId="9" xfId="0" applyFont="1" applyFill="1" applyBorder="1" applyAlignment="1">
      <alignment horizontal="center"/>
    </xf>
    <xf numFmtId="0" fontId="15" fillId="2" borderId="0" xfId="0" applyFont="1" applyFill="1" applyAlignment="1">
      <alignment horizontal="center" vertical="center"/>
    </xf>
    <xf numFmtId="166" fontId="15" fillId="3" borderId="9" xfId="0" applyNumberFormat="1" applyFont="1" applyFill="1" applyBorder="1" applyAlignment="1">
      <alignment horizontal="center" vertical="center"/>
    </xf>
    <xf numFmtId="14" fontId="15" fillId="3" borderId="0" xfId="0" applyNumberFormat="1" applyFont="1" applyFill="1" applyAlignment="1">
      <alignment horizontal="left" vertical="center"/>
    </xf>
    <xf numFmtId="0" fontId="36" fillId="3" borderId="20" xfId="0" applyFont="1" applyFill="1" applyBorder="1" applyAlignment="1">
      <alignment horizontal="left" vertical="center"/>
    </xf>
    <xf numFmtId="0" fontId="36" fillId="3" borderId="0" xfId="0" applyFont="1" applyFill="1" applyAlignment="1">
      <alignment horizontal="left" vertical="center"/>
    </xf>
    <xf numFmtId="17" fontId="15" fillId="3" borderId="0" xfId="0" applyNumberFormat="1" applyFont="1" applyFill="1" applyAlignment="1">
      <alignment horizontal="left" vertical="center"/>
    </xf>
    <xf numFmtId="0" fontId="15" fillId="2" borderId="9" xfId="0" applyFont="1" applyFill="1" applyBorder="1" applyAlignment="1">
      <alignment horizontal="center"/>
    </xf>
  </cellXfs>
  <cellStyles count="3">
    <cellStyle name="Normal" xfId="0" builtinId="0"/>
    <cellStyle name="Normal_Hoja2_1 2" xfId="2" xr:uid="{00000000-0005-0000-0000-000001000000}"/>
    <cellStyle name="Porcentaj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trlProps/ctrlProp1.xml><?xml version="1.0" encoding="utf-8"?>
<formControlPr xmlns="http://schemas.microsoft.com/office/spreadsheetml/2009/9/main" objectType="Radio" firstButton="1" lockText="1"/>
</file>

<file path=xl/ctrlProps/ctrlProp2.xml><?xml version="1.0" encoding="utf-8"?>
<formControlPr xmlns="http://schemas.microsoft.com/office/spreadsheetml/2009/9/main" objectType="Radio" checked="Checked" lockText="1"/>
</file>

<file path=xl/ctrlProps/ctrlProp3.xml><?xml version="1.0" encoding="utf-8"?>
<formControlPr xmlns="http://schemas.microsoft.com/office/spreadsheetml/2009/9/main" objectType="Radio" lockText="1"/>
</file>

<file path=xl/ctrlProps/ctrlProp4.xml><?xml version="1.0" encoding="utf-8"?>
<formControlPr xmlns="http://schemas.microsoft.com/office/spreadsheetml/2009/9/main" objectType="CheckBox" lockText="1"/>
</file>

<file path=xl/ctrlProps/ctrlProp5.xml><?xml version="1.0" encoding="utf-8"?>
<formControlPr xmlns="http://schemas.microsoft.com/office/spreadsheetml/2009/9/main" objectType="CheckBox" checked="Checked" lockText="1"/>
</file>

<file path=xl/ctrlProps/ctrlProp6.xml><?xml version="1.0" encoding="utf-8"?>
<formControlPr xmlns="http://schemas.microsoft.com/office/spreadsheetml/2009/9/main" objectType="CheckBox" lockText="1"/>
</file>

<file path=xl/ctrlProps/ctrlProp7.xml><?xml version="1.0" encoding="utf-8"?>
<formControlPr xmlns="http://schemas.microsoft.com/office/spreadsheetml/2009/9/main" objectType="CheckBox" lockText="1"/>
</file>

<file path=xl/ctrlProps/ctrlProp8.xml><?xml version="1.0" encoding="utf-8"?>
<formControlPr xmlns="http://schemas.microsoft.com/office/spreadsheetml/2009/9/main" objectType="CheckBox" checked="Checked" lockText="1"/>
</file>

<file path=xl/ctrlProps/ctrlProp9.xml><?xml version="1.0" encoding="utf-8"?>
<formControlPr xmlns="http://schemas.microsoft.com/office/spreadsheetml/2009/9/main" objectType="CheckBox" checked="Checked" lockText="1"/>
</file>

<file path=xl/ctrlProps/ctrlProp10.xml><?xml version="1.0" encoding="utf-8"?>
<formControlPr xmlns="http://schemas.microsoft.com/office/spreadsheetml/2009/9/main" objectType="CheckBox" lockText="1"/>
</file>

<file path=xl/ctrlProps/ctrlProp11.xml><?xml version="1.0" encoding="utf-8"?>
<formControlPr xmlns="http://schemas.microsoft.com/office/spreadsheetml/2009/9/main" objectType="CheckBox" lockText="1"/>
</file>

<file path=xl/ctrlProps/ctrlProp12.xml><?xml version="1.0" encoding="utf-8"?>
<formControlPr xmlns="http://schemas.microsoft.com/office/spreadsheetml/2009/9/main" objectType="CheckBox" lockText="1"/>
</file>

<file path=xl/ctrlProps/ctrlProp13.xml><?xml version="1.0" encoding="utf-8"?>
<formControlPr xmlns="http://schemas.microsoft.com/office/spreadsheetml/2009/9/main" objectType="CheckBox" lockText="1"/>
</file>

<file path=xl/ctrlProps/ctrlProp14.xml><?xml version="1.0" encoding="utf-8"?>
<formControlPr xmlns="http://schemas.microsoft.com/office/spreadsheetml/2009/9/main" objectType="CheckBox" lockText="1"/>
</file>

<file path=xl/ctrlProps/ctrlProp15.xml><?xml version="1.0" encoding="utf-8"?>
<formControlPr xmlns="http://schemas.microsoft.com/office/spreadsheetml/2009/9/main" objectType="CheckBox" lockText="1"/>
</file>

<file path=xl/ctrlProps/ctrlProp16.xml><?xml version="1.0" encoding="utf-8"?>
<formControlPr xmlns="http://schemas.microsoft.com/office/spreadsheetml/2009/9/main" objectType="CheckBox" checked="Checked" lockText="1"/>
</file>

<file path=xl/ctrlProps/ctrlProp17.xml><?xml version="1.0" encoding="utf-8"?>
<formControlPr xmlns="http://schemas.microsoft.com/office/spreadsheetml/2009/9/main" objectType="CheckBox" checked="Checked" lockText="1"/>
</file>

<file path=xl/ctrlProps/ctrlProp18.xml><?xml version="1.0" encoding="utf-8"?>
<formControlPr xmlns="http://schemas.microsoft.com/office/spreadsheetml/2009/9/main" objectType="CheckBox" lockText="1"/>
</file>

<file path=xl/ctrlProps/ctrlProp19.xml><?xml version="1.0" encoding="utf-8"?>
<formControlPr xmlns="http://schemas.microsoft.com/office/spreadsheetml/2009/9/main" objectType="CheckBox" lockText="1"/>
</file>

<file path=xl/ctrlProps/ctrlProp20.xml><?xml version="1.0" encoding="utf-8"?>
<formControlPr xmlns="http://schemas.microsoft.com/office/spreadsheetml/2009/9/main" objectType="CheckBox" checked="Checked" lockText="1"/>
</file>

<file path=xl/ctrlProps/ctrlProp21.xml><?xml version="1.0" encoding="utf-8"?>
<formControlPr xmlns="http://schemas.microsoft.com/office/spreadsheetml/2009/9/main" objectType="CheckBox" checked="Checked" lockText="1"/>
</file>

<file path=xl/ctrlProps/ctrlProp22.xml><?xml version="1.0" encoding="utf-8"?>
<formControlPr xmlns="http://schemas.microsoft.com/office/spreadsheetml/2009/9/main" objectType="CheckBox" checked="Checked" lockText="1"/>
</file>

<file path=xl/ctrlProps/ctrlProp23.xml><?xml version="1.0" encoding="utf-8"?>
<formControlPr xmlns="http://schemas.microsoft.com/office/spreadsheetml/2009/9/main" objectType="CheckBox" lockText="1"/>
</file>

<file path=xl/ctrlProps/ctrlProp24.xml><?xml version="1.0" encoding="utf-8"?>
<formControlPr xmlns="http://schemas.microsoft.com/office/spreadsheetml/2009/9/main" objectType="CheckBox" lockText="1"/>
</file>

<file path=xl/ctrlProps/ctrlProp25.xml><?xml version="1.0" encoding="utf-8"?>
<formControlPr xmlns="http://schemas.microsoft.com/office/spreadsheetml/2009/9/main" objectType="CheckBox" checked="Checked" lockText="1"/>
</file>

<file path=xl/ctrlProps/ctrlProp26.xml><?xml version="1.0" encoding="utf-8"?>
<formControlPr xmlns="http://schemas.microsoft.com/office/spreadsheetml/2009/9/main" objectType="Radio" firstButton="1" lockText="1"/>
</file>

<file path=xl/ctrlProps/ctrlProp27.xml><?xml version="1.0" encoding="utf-8"?>
<formControlPr xmlns="http://schemas.microsoft.com/office/spreadsheetml/2009/9/main" objectType="Radio" checked="Checked" lockText="1"/>
</file>

<file path=xl/ctrlProps/ctrlProp28.xml><?xml version="1.0" encoding="utf-8"?>
<formControlPr xmlns="http://schemas.microsoft.com/office/spreadsheetml/2009/9/main" objectType="Radio" lockText="1"/>
</file>

<file path=xl/ctrlProps/ctrlProp29.xml><?xml version="1.0" encoding="utf-8"?>
<formControlPr xmlns="http://schemas.microsoft.com/office/spreadsheetml/2009/9/main" objectType="CheckBox" lockText="1"/>
</file>

<file path=xl/ctrlProps/ctrlProp30.xml><?xml version="1.0" encoding="utf-8"?>
<formControlPr xmlns="http://schemas.microsoft.com/office/spreadsheetml/2009/9/main" objectType="CheckBox" lockText="1"/>
</file>

<file path=xl/ctrlProps/ctrlProp31.xml><?xml version="1.0" encoding="utf-8"?>
<formControlPr xmlns="http://schemas.microsoft.com/office/spreadsheetml/2009/9/main" objectType="CheckBox" lockText="1"/>
</file>

<file path=xl/ctrlProps/ctrlProp32.xml><?xml version="1.0" encoding="utf-8"?>
<formControlPr xmlns="http://schemas.microsoft.com/office/spreadsheetml/2009/9/main" objectType="CheckBox" lockText="1"/>
</file>

<file path=xl/ctrlProps/ctrlProp33.xml><?xml version="1.0" encoding="utf-8"?>
<formControlPr xmlns="http://schemas.microsoft.com/office/spreadsheetml/2009/9/main" objectType="CheckBox" checked="Checked" lockText="1"/>
</file>

<file path=xl/ctrlProps/ctrlProp34.xml><?xml version="1.0" encoding="utf-8"?>
<formControlPr xmlns="http://schemas.microsoft.com/office/spreadsheetml/2009/9/main" objectType="CheckBox" checked="Checked" lockText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276225</xdr:colOff>
          <xdr:row>11</xdr:row>
          <xdr:rowOff>142875</xdr:rowOff>
        </xdr:from>
        <xdr:to>
          <xdr:col>12</xdr:col>
          <xdr:colOff>57150</xdr:colOff>
          <xdr:row>13</xdr:row>
          <xdr:rowOff>19050</xdr:rowOff>
        </xdr:to>
        <xdr:sp macro="" textlink="">
          <xdr:nvSpPr>
            <xdr:cNvPr id="1026" name="Option Button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276225</xdr:colOff>
          <xdr:row>12</xdr:row>
          <xdr:rowOff>104775</xdr:rowOff>
        </xdr:from>
        <xdr:to>
          <xdr:col>12</xdr:col>
          <xdr:colOff>57150</xdr:colOff>
          <xdr:row>14</xdr:row>
          <xdr:rowOff>19050</xdr:rowOff>
        </xdr:to>
        <xdr:sp macro="" textlink="">
          <xdr:nvSpPr>
            <xdr:cNvPr id="1027" name="Option Button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276225</xdr:colOff>
          <xdr:row>13</xdr:row>
          <xdr:rowOff>104775</xdr:rowOff>
        </xdr:from>
        <xdr:to>
          <xdr:col>12</xdr:col>
          <xdr:colOff>57150</xdr:colOff>
          <xdr:row>15</xdr:row>
          <xdr:rowOff>19050</xdr:rowOff>
        </xdr:to>
        <xdr:sp macro="" textlink="">
          <xdr:nvSpPr>
            <xdr:cNvPr id="1028" name="Option Button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10</xdr:row>
          <xdr:rowOff>66675</xdr:rowOff>
        </xdr:from>
        <xdr:to>
          <xdr:col>10</xdr:col>
          <xdr:colOff>495300</xdr:colOff>
          <xdr:row>12</xdr:row>
          <xdr:rowOff>47625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304800</xdr:colOff>
          <xdr:row>10</xdr:row>
          <xdr:rowOff>66675</xdr:rowOff>
        </xdr:from>
        <xdr:to>
          <xdr:col>2</xdr:col>
          <xdr:colOff>152400</xdr:colOff>
          <xdr:row>12</xdr:row>
          <xdr:rowOff>47625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133350</xdr:colOff>
          <xdr:row>87</xdr:row>
          <xdr:rowOff>114300</xdr:rowOff>
        </xdr:from>
        <xdr:to>
          <xdr:col>6</xdr:col>
          <xdr:colOff>438150</xdr:colOff>
          <xdr:row>89</xdr:row>
          <xdr:rowOff>19050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133350</xdr:colOff>
          <xdr:row>89</xdr:row>
          <xdr:rowOff>114300</xdr:rowOff>
        </xdr:from>
        <xdr:to>
          <xdr:col>6</xdr:col>
          <xdr:colOff>438150</xdr:colOff>
          <xdr:row>91</xdr:row>
          <xdr:rowOff>19050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133350</xdr:colOff>
          <xdr:row>91</xdr:row>
          <xdr:rowOff>114300</xdr:rowOff>
        </xdr:from>
        <xdr:to>
          <xdr:col>6</xdr:col>
          <xdr:colOff>438150</xdr:colOff>
          <xdr:row>93</xdr:row>
          <xdr:rowOff>19050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200025</xdr:colOff>
          <xdr:row>87</xdr:row>
          <xdr:rowOff>114300</xdr:rowOff>
        </xdr:from>
        <xdr:to>
          <xdr:col>10</xdr:col>
          <xdr:colOff>161925</xdr:colOff>
          <xdr:row>89</xdr:row>
          <xdr:rowOff>19050</xdr:rowOff>
        </xdr:to>
        <xdr:sp macro="" textlink="">
          <xdr:nvSpPr>
            <xdr:cNvPr id="1035" name="Check Box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200025</xdr:colOff>
          <xdr:row>89</xdr:row>
          <xdr:rowOff>114300</xdr:rowOff>
        </xdr:from>
        <xdr:to>
          <xdr:col>10</xdr:col>
          <xdr:colOff>161925</xdr:colOff>
          <xdr:row>91</xdr:row>
          <xdr:rowOff>19050</xdr:rowOff>
        </xdr:to>
        <xdr:sp macro="" textlink="">
          <xdr:nvSpPr>
            <xdr:cNvPr id="1036" name="Check Box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200025</xdr:colOff>
          <xdr:row>91</xdr:row>
          <xdr:rowOff>114300</xdr:rowOff>
        </xdr:from>
        <xdr:to>
          <xdr:col>10</xdr:col>
          <xdr:colOff>161925</xdr:colOff>
          <xdr:row>93</xdr:row>
          <xdr:rowOff>19050</xdr:rowOff>
        </xdr:to>
        <xdr:sp macro="" textlink="">
          <xdr:nvSpPr>
            <xdr:cNvPr id="1037" name="Check Box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133350</xdr:colOff>
          <xdr:row>93</xdr:row>
          <xdr:rowOff>114300</xdr:rowOff>
        </xdr:from>
        <xdr:to>
          <xdr:col>6</xdr:col>
          <xdr:colOff>438150</xdr:colOff>
          <xdr:row>95</xdr:row>
          <xdr:rowOff>19050</xdr:rowOff>
        </xdr:to>
        <xdr:sp macro="" textlink="">
          <xdr:nvSpPr>
            <xdr:cNvPr id="1039" name="Check Box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200025</xdr:colOff>
          <xdr:row>93</xdr:row>
          <xdr:rowOff>114300</xdr:rowOff>
        </xdr:from>
        <xdr:to>
          <xdr:col>10</xdr:col>
          <xdr:colOff>161925</xdr:colOff>
          <xdr:row>95</xdr:row>
          <xdr:rowOff>19050</xdr:rowOff>
        </xdr:to>
        <xdr:sp macro="" textlink="">
          <xdr:nvSpPr>
            <xdr:cNvPr id="1040" name="Check Box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114300</xdr:colOff>
          <xdr:row>21</xdr:row>
          <xdr:rowOff>76200</xdr:rowOff>
        </xdr:from>
        <xdr:to>
          <xdr:col>15</xdr:col>
          <xdr:colOff>152400</xdr:colOff>
          <xdr:row>23</xdr:row>
          <xdr:rowOff>57150</xdr:rowOff>
        </xdr:to>
        <xdr:sp macro="" textlink="">
          <xdr:nvSpPr>
            <xdr:cNvPr id="1042" name="Check Box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114300</xdr:colOff>
          <xdr:row>22</xdr:row>
          <xdr:rowOff>133350</xdr:rowOff>
        </xdr:from>
        <xdr:to>
          <xdr:col>15</xdr:col>
          <xdr:colOff>152400</xdr:colOff>
          <xdr:row>24</xdr:row>
          <xdr:rowOff>47625</xdr:rowOff>
        </xdr:to>
        <xdr:sp macro="" textlink="">
          <xdr:nvSpPr>
            <xdr:cNvPr id="1043" name="Check Box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114300</xdr:colOff>
          <xdr:row>21</xdr:row>
          <xdr:rowOff>76200</xdr:rowOff>
        </xdr:from>
        <xdr:to>
          <xdr:col>15</xdr:col>
          <xdr:colOff>152400</xdr:colOff>
          <xdr:row>23</xdr:row>
          <xdr:rowOff>57150</xdr:rowOff>
        </xdr:to>
        <xdr:sp macro="" textlink="">
          <xdr:nvSpPr>
            <xdr:cNvPr id="1044" name="Check Box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0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114300</xdr:colOff>
          <xdr:row>22</xdr:row>
          <xdr:rowOff>133350</xdr:rowOff>
        </xdr:from>
        <xdr:to>
          <xdr:col>15</xdr:col>
          <xdr:colOff>152400</xdr:colOff>
          <xdr:row>24</xdr:row>
          <xdr:rowOff>47625</xdr:rowOff>
        </xdr:to>
        <xdr:sp macro="" textlink="">
          <xdr:nvSpPr>
            <xdr:cNvPr id="1045" name="Check Box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0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15</xdr:col>
      <xdr:colOff>523875</xdr:colOff>
      <xdr:row>2</xdr:row>
      <xdr:rowOff>9525</xdr:rowOff>
    </xdr:from>
    <xdr:to>
      <xdr:col>19</xdr:col>
      <xdr:colOff>7283</xdr:colOff>
      <xdr:row>4</xdr:row>
      <xdr:rowOff>148406</xdr:rowOff>
    </xdr:to>
    <xdr:pic>
      <xdr:nvPicPr>
        <xdr:cNvPr id="19" name="10 Imagen" descr="Descripción: Close-Up_International.jpg">
          <a:extLst>
            <a:ext uri="{FF2B5EF4-FFF2-40B4-BE49-F238E27FC236}">
              <a16:creationId xmlns:a16="http://schemas.microsoft.com/office/drawing/2014/main" id="{14D8C70D-9E3C-4699-B711-ECBE0D6ABA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115050" y="190500"/>
          <a:ext cx="1426508" cy="38653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209550</xdr:colOff>
      <xdr:row>1</xdr:row>
      <xdr:rowOff>57150</xdr:rowOff>
    </xdr:from>
    <xdr:to>
      <xdr:col>12</xdr:col>
      <xdr:colOff>380999</xdr:colOff>
      <xdr:row>4</xdr:row>
      <xdr:rowOff>73886</xdr:rowOff>
    </xdr:to>
    <xdr:pic>
      <xdr:nvPicPr>
        <xdr:cNvPr id="3" name="10 Imagen" descr="Descripción: Close-Up_International.jp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467225" y="114300"/>
          <a:ext cx="1295399" cy="38821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88</xdr:row>
          <xdr:rowOff>114300</xdr:rowOff>
        </xdr:from>
        <xdr:to>
          <xdr:col>5</xdr:col>
          <xdr:colOff>304800</xdr:colOff>
          <xdr:row>90</xdr:row>
          <xdr:rowOff>19050</xdr:rowOff>
        </xdr:to>
        <xdr:sp macro="" textlink="">
          <xdr:nvSpPr>
            <xdr:cNvPr id="3073" name="Check Box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1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90</xdr:row>
          <xdr:rowOff>114300</xdr:rowOff>
        </xdr:from>
        <xdr:to>
          <xdr:col>5</xdr:col>
          <xdr:colOff>304800</xdr:colOff>
          <xdr:row>92</xdr:row>
          <xdr:rowOff>19050</xdr:rowOff>
        </xdr:to>
        <xdr:sp macro="" textlink="">
          <xdr:nvSpPr>
            <xdr:cNvPr id="3074" name="Check Box 2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0000000-0008-0000-0100-00000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92</xdr:row>
          <xdr:rowOff>114300</xdr:rowOff>
        </xdr:from>
        <xdr:to>
          <xdr:col>5</xdr:col>
          <xdr:colOff>304800</xdr:colOff>
          <xdr:row>94</xdr:row>
          <xdr:rowOff>19050</xdr:rowOff>
        </xdr:to>
        <xdr:sp macro="" textlink="">
          <xdr:nvSpPr>
            <xdr:cNvPr id="3075" name="Check Box 3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00000000-0008-0000-0100-00000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200025</xdr:colOff>
          <xdr:row>88</xdr:row>
          <xdr:rowOff>114300</xdr:rowOff>
        </xdr:from>
        <xdr:to>
          <xdr:col>7</xdr:col>
          <xdr:colOff>504825</xdr:colOff>
          <xdr:row>90</xdr:row>
          <xdr:rowOff>19050</xdr:rowOff>
        </xdr:to>
        <xdr:sp macro="" textlink="">
          <xdr:nvSpPr>
            <xdr:cNvPr id="3076" name="Check Box 4" hidden="1">
              <a:extLst>
                <a:ext uri="{63B3BB69-23CF-44E3-9099-C40C66FF867C}">
                  <a14:compatExt spid="_x0000_s3076"/>
                </a:ext>
                <a:ext uri="{FF2B5EF4-FFF2-40B4-BE49-F238E27FC236}">
                  <a16:creationId xmlns:a16="http://schemas.microsoft.com/office/drawing/2014/main" id="{00000000-0008-0000-0100-00000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200025</xdr:colOff>
          <xdr:row>90</xdr:row>
          <xdr:rowOff>114300</xdr:rowOff>
        </xdr:from>
        <xdr:to>
          <xdr:col>7</xdr:col>
          <xdr:colOff>504825</xdr:colOff>
          <xdr:row>92</xdr:row>
          <xdr:rowOff>19050</xdr:rowOff>
        </xdr:to>
        <xdr:sp macro="" textlink="">
          <xdr:nvSpPr>
            <xdr:cNvPr id="3077" name="Check Box 5" hidden="1">
              <a:extLst>
                <a:ext uri="{63B3BB69-23CF-44E3-9099-C40C66FF867C}">
                  <a14:compatExt spid="_x0000_s3077"/>
                </a:ext>
                <a:ext uri="{FF2B5EF4-FFF2-40B4-BE49-F238E27FC236}">
                  <a16:creationId xmlns:a16="http://schemas.microsoft.com/office/drawing/2014/main" id="{00000000-0008-0000-0100-00000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200025</xdr:colOff>
          <xdr:row>92</xdr:row>
          <xdr:rowOff>114300</xdr:rowOff>
        </xdr:from>
        <xdr:to>
          <xdr:col>7</xdr:col>
          <xdr:colOff>504825</xdr:colOff>
          <xdr:row>94</xdr:row>
          <xdr:rowOff>19050</xdr:rowOff>
        </xdr:to>
        <xdr:sp macro="" textlink="">
          <xdr:nvSpPr>
            <xdr:cNvPr id="3078" name="Check Box 6" hidden="1">
              <a:extLst>
                <a:ext uri="{63B3BB69-23CF-44E3-9099-C40C66FF867C}">
                  <a14:compatExt spid="_x0000_s3078"/>
                </a:ext>
                <a:ext uri="{FF2B5EF4-FFF2-40B4-BE49-F238E27FC236}">
                  <a16:creationId xmlns:a16="http://schemas.microsoft.com/office/drawing/2014/main" id="{00000000-0008-0000-0100-00000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</xdr:row>
          <xdr:rowOff>66675</xdr:rowOff>
        </xdr:from>
        <xdr:to>
          <xdr:col>7</xdr:col>
          <xdr:colOff>190500</xdr:colOff>
          <xdr:row>12</xdr:row>
          <xdr:rowOff>47625</xdr:rowOff>
        </xdr:to>
        <xdr:sp macro="" textlink="">
          <xdr:nvSpPr>
            <xdr:cNvPr id="3079" name="Check Box 7" hidden="1">
              <a:extLst>
                <a:ext uri="{63B3BB69-23CF-44E3-9099-C40C66FF867C}">
                  <a14:compatExt spid="_x0000_s3079"/>
                </a:ext>
                <a:ext uri="{FF2B5EF4-FFF2-40B4-BE49-F238E27FC236}">
                  <a16:creationId xmlns:a16="http://schemas.microsoft.com/office/drawing/2014/main" id="{00000000-0008-0000-0100-00000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333375</xdr:colOff>
          <xdr:row>10</xdr:row>
          <xdr:rowOff>66675</xdr:rowOff>
        </xdr:from>
        <xdr:to>
          <xdr:col>2</xdr:col>
          <xdr:colOff>171450</xdr:colOff>
          <xdr:row>12</xdr:row>
          <xdr:rowOff>47625</xdr:rowOff>
        </xdr:to>
        <xdr:sp macro="" textlink="">
          <xdr:nvSpPr>
            <xdr:cNvPr id="3080" name="Check Box 8" hidden="1">
              <a:extLst>
                <a:ext uri="{63B3BB69-23CF-44E3-9099-C40C66FF867C}">
                  <a14:compatExt spid="_x0000_s3080"/>
                </a:ext>
                <a:ext uri="{FF2B5EF4-FFF2-40B4-BE49-F238E27FC236}">
                  <a16:creationId xmlns:a16="http://schemas.microsoft.com/office/drawing/2014/main" id="{00000000-0008-0000-0100-00000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428625</xdr:colOff>
          <xdr:row>11</xdr:row>
          <xdr:rowOff>152400</xdr:rowOff>
        </xdr:from>
        <xdr:to>
          <xdr:col>7</xdr:col>
          <xdr:colOff>733425</xdr:colOff>
          <xdr:row>13</xdr:row>
          <xdr:rowOff>28575</xdr:rowOff>
        </xdr:to>
        <xdr:sp macro="" textlink="">
          <xdr:nvSpPr>
            <xdr:cNvPr id="3081" name="Option Button 9" hidden="1">
              <a:extLst>
                <a:ext uri="{63B3BB69-23CF-44E3-9099-C40C66FF867C}">
                  <a14:compatExt spid="_x0000_s3081"/>
                </a:ext>
                <a:ext uri="{FF2B5EF4-FFF2-40B4-BE49-F238E27FC236}">
                  <a16:creationId xmlns:a16="http://schemas.microsoft.com/office/drawing/2014/main" id="{00000000-0008-0000-0100-00000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428625</xdr:colOff>
          <xdr:row>12</xdr:row>
          <xdr:rowOff>114300</xdr:rowOff>
        </xdr:from>
        <xdr:to>
          <xdr:col>7</xdr:col>
          <xdr:colOff>733425</xdr:colOff>
          <xdr:row>14</xdr:row>
          <xdr:rowOff>28575</xdr:rowOff>
        </xdr:to>
        <xdr:sp macro="" textlink="">
          <xdr:nvSpPr>
            <xdr:cNvPr id="3082" name="Option Button 10" hidden="1">
              <a:extLst>
                <a:ext uri="{63B3BB69-23CF-44E3-9099-C40C66FF867C}">
                  <a14:compatExt spid="_x0000_s3082"/>
                </a:ext>
                <a:ext uri="{FF2B5EF4-FFF2-40B4-BE49-F238E27FC236}">
                  <a16:creationId xmlns:a16="http://schemas.microsoft.com/office/drawing/2014/main" id="{00000000-0008-0000-0100-00000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428625</xdr:colOff>
          <xdr:row>13</xdr:row>
          <xdr:rowOff>114300</xdr:rowOff>
        </xdr:from>
        <xdr:to>
          <xdr:col>7</xdr:col>
          <xdr:colOff>733425</xdr:colOff>
          <xdr:row>15</xdr:row>
          <xdr:rowOff>28575</xdr:rowOff>
        </xdr:to>
        <xdr:sp macro="" textlink="">
          <xdr:nvSpPr>
            <xdr:cNvPr id="3083" name="Option Button 11" hidden="1">
              <a:extLst>
                <a:ext uri="{63B3BB69-23CF-44E3-9099-C40C66FF867C}">
                  <a14:compatExt spid="_x0000_s3083"/>
                </a:ext>
                <a:ext uri="{FF2B5EF4-FFF2-40B4-BE49-F238E27FC236}">
                  <a16:creationId xmlns:a16="http://schemas.microsoft.com/office/drawing/2014/main" id="{00000000-0008-0000-0100-00000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94</xdr:row>
          <xdr:rowOff>114300</xdr:rowOff>
        </xdr:from>
        <xdr:to>
          <xdr:col>5</xdr:col>
          <xdr:colOff>304800</xdr:colOff>
          <xdr:row>96</xdr:row>
          <xdr:rowOff>19050</xdr:rowOff>
        </xdr:to>
        <xdr:sp macro="" textlink="">
          <xdr:nvSpPr>
            <xdr:cNvPr id="3084" name="Check Box 12" hidden="1">
              <a:extLst>
                <a:ext uri="{63B3BB69-23CF-44E3-9099-C40C66FF867C}">
                  <a14:compatExt spid="_x0000_s3084"/>
                </a:ext>
                <a:ext uri="{FF2B5EF4-FFF2-40B4-BE49-F238E27FC236}">
                  <a16:creationId xmlns:a16="http://schemas.microsoft.com/office/drawing/2014/main" id="{00000000-0008-0000-0100-00000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200025</xdr:colOff>
          <xdr:row>94</xdr:row>
          <xdr:rowOff>114300</xdr:rowOff>
        </xdr:from>
        <xdr:to>
          <xdr:col>7</xdr:col>
          <xdr:colOff>504825</xdr:colOff>
          <xdr:row>96</xdr:row>
          <xdr:rowOff>19050</xdr:rowOff>
        </xdr:to>
        <xdr:sp macro="" textlink="">
          <xdr:nvSpPr>
            <xdr:cNvPr id="3085" name="Check Box 13" hidden="1">
              <a:extLst>
                <a:ext uri="{63B3BB69-23CF-44E3-9099-C40C66FF867C}">
                  <a14:compatExt spid="_x0000_s3085"/>
                </a:ext>
                <a:ext uri="{FF2B5EF4-FFF2-40B4-BE49-F238E27FC236}">
                  <a16:creationId xmlns:a16="http://schemas.microsoft.com/office/drawing/2014/main" id="{00000000-0008-0000-0100-00000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94</xdr:row>
          <xdr:rowOff>114300</xdr:rowOff>
        </xdr:from>
        <xdr:to>
          <xdr:col>5</xdr:col>
          <xdr:colOff>304800</xdr:colOff>
          <xdr:row>96</xdr:row>
          <xdr:rowOff>19050</xdr:rowOff>
        </xdr:to>
        <xdr:sp macro="" textlink="">
          <xdr:nvSpPr>
            <xdr:cNvPr id="3086" name="Check Box 14" hidden="1">
              <a:extLst>
                <a:ext uri="{63B3BB69-23CF-44E3-9099-C40C66FF867C}">
                  <a14:compatExt spid="_x0000_s3086"/>
                </a:ext>
                <a:ext uri="{FF2B5EF4-FFF2-40B4-BE49-F238E27FC236}">
                  <a16:creationId xmlns:a16="http://schemas.microsoft.com/office/drawing/2014/main" id="{00000000-0008-0000-0100-00000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200025</xdr:colOff>
          <xdr:row>94</xdr:row>
          <xdr:rowOff>114300</xdr:rowOff>
        </xdr:from>
        <xdr:to>
          <xdr:col>7</xdr:col>
          <xdr:colOff>504825</xdr:colOff>
          <xdr:row>96</xdr:row>
          <xdr:rowOff>19050</xdr:rowOff>
        </xdr:to>
        <xdr:sp macro="" textlink="">
          <xdr:nvSpPr>
            <xdr:cNvPr id="3087" name="Check Box 15" hidden="1">
              <a:extLst>
                <a:ext uri="{63B3BB69-23CF-44E3-9099-C40C66FF867C}">
                  <a14:compatExt spid="_x0000_s3087"/>
                </a:ext>
                <a:ext uri="{FF2B5EF4-FFF2-40B4-BE49-F238E27FC236}">
                  <a16:creationId xmlns:a16="http://schemas.microsoft.com/office/drawing/2014/main" id="{00000000-0008-0000-0100-00000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552450</xdr:colOff>
          <xdr:row>21</xdr:row>
          <xdr:rowOff>66675</xdr:rowOff>
        </xdr:from>
        <xdr:to>
          <xdr:col>10</xdr:col>
          <xdr:colOff>85725</xdr:colOff>
          <xdr:row>23</xdr:row>
          <xdr:rowOff>47625</xdr:rowOff>
        </xdr:to>
        <xdr:sp macro="" textlink="">
          <xdr:nvSpPr>
            <xdr:cNvPr id="3088" name="Check Box 16" hidden="1">
              <a:extLst>
                <a:ext uri="{63B3BB69-23CF-44E3-9099-C40C66FF867C}">
                  <a14:compatExt spid="_x0000_s3088"/>
                </a:ext>
                <a:ext uri="{FF2B5EF4-FFF2-40B4-BE49-F238E27FC236}">
                  <a16:creationId xmlns:a16="http://schemas.microsoft.com/office/drawing/2014/main" id="{00000000-0008-0000-0100-00001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552450</xdr:colOff>
          <xdr:row>22</xdr:row>
          <xdr:rowOff>133350</xdr:rowOff>
        </xdr:from>
        <xdr:to>
          <xdr:col>10</xdr:col>
          <xdr:colOff>85725</xdr:colOff>
          <xdr:row>24</xdr:row>
          <xdr:rowOff>47625</xdr:rowOff>
        </xdr:to>
        <xdr:sp macro="" textlink="">
          <xdr:nvSpPr>
            <xdr:cNvPr id="3089" name="Check Box 17" hidden="1">
              <a:extLst>
                <a:ext uri="{63B3BB69-23CF-44E3-9099-C40C66FF867C}">
                  <a14:compatExt spid="_x0000_s3089"/>
                </a:ext>
                <a:ext uri="{FF2B5EF4-FFF2-40B4-BE49-F238E27FC236}">
                  <a16:creationId xmlns:a16="http://schemas.microsoft.com/office/drawing/2014/main" id="{00000000-0008-0000-0100-00001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rocca\AppData\Local\Microsoft\Windows\Temporary%20Internet%20Files\Content.Outlook\MDEHWU3P\ABM%20Auditor&#237;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BM Prescription Audits"/>
      <sheetName val="e-mail Form Audits"/>
      <sheetName val="Tablas"/>
    </sheetNames>
    <sheetDataSet>
      <sheetData sheetId="0" refreshError="1"/>
      <sheetData sheetId="1" refreshError="1"/>
      <sheetData sheetId="2">
        <row r="6">
          <cell r="A6" t="str">
            <v>Argentina</v>
          </cell>
          <cell r="B6" t="str">
            <v>Pharma Mix</v>
          </cell>
          <cell r="C6" t="str">
            <v>Presupuesto aprobado</v>
          </cell>
          <cell r="D6" t="str">
            <v>12 meses</v>
          </cell>
          <cell r="E6" t="str">
            <v>Dólar</v>
          </cell>
        </row>
        <row r="7">
          <cell r="A7" t="str">
            <v>Brasil</v>
          </cell>
          <cell r="B7" t="str">
            <v>Pharma Mix Focus</v>
          </cell>
          <cell r="C7" t="str">
            <v>Contrato Firmado</v>
          </cell>
          <cell r="D7" t="str">
            <v>24 meses</v>
          </cell>
          <cell r="E7" t="str">
            <v>Euro</v>
          </cell>
        </row>
        <row r="8">
          <cell r="A8" t="str">
            <v>México</v>
          </cell>
          <cell r="B8" t="str">
            <v>Close-Up Analyzer</v>
          </cell>
          <cell r="D8" t="str">
            <v>36 meses</v>
          </cell>
          <cell r="E8" t="str">
            <v>Real</v>
          </cell>
        </row>
        <row r="9">
          <cell r="A9" t="str">
            <v>España</v>
          </cell>
          <cell r="B9" t="str">
            <v>Close-Up Analyzer Reps</v>
          </cell>
          <cell r="D9" t="str">
            <v>1 mes</v>
          </cell>
        </row>
        <row r="10">
          <cell r="A10" t="str">
            <v>Chile</v>
          </cell>
          <cell r="B10" t="str">
            <v>Prescriber's</v>
          </cell>
          <cell r="D10" t="str">
            <v>2 meses</v>
          </cell>
        </row>
        <row r="11">
          <cell r="A11" t="str">
            <v>Perú</v>
          </cell>
          <cell r="B11" t="str">
            <v>Regional Analyzer</v>
          </cell>
          <cell r="D11" t="str">
            <v>3 meses</v>
          </cell>
        </row>
        <row r="12">
          <cell r="A12" t="str">
            <v>Colombia</v>
          </cell>
          <cell r="B12" t="str">
            <v>Recepta</v>
          </cell>
          <cell r="D12" t="str">
            <v>4 meses</v>
          </cell>
        </row>
        <row r="13">
          <cell r="A13" t="str">
            <v>Ecuador</v>
          </cell>
          <cell r="B13" t="str">
            <v>Focus PPC</v>
          </cell>
          <cell r="D13" t="str">
            <v>5 meses</v>
          </cell>
        </row>
        <row r="14">
          <cell r="A14" t="str">
            <v>Paraguay</v>
          </cell>
          <cell r="B14" t="str">
            <v>Estudio_Especial</v>
          </cell>
          <cell r="D14" t="str">
            <v>6 meses</v>
          </cell>
        </row>
        <row r="15">
          <cell r="A15" t="str">
            <v>Uruguay</v>
          </cell>
          <cell r="B15" t="str">
            <v>Quick Data</v>
          </cell>
          <cell r="D15" t="str">
            <v>7 meses</v>
          </cell>
        </row>
        <row r="16">
          <cell r="A16" t="str">
            <v>Centroamérica</v>
          </cell>
          <cell r="B16" t="str">
            <v>Hospital Report</v>
          </cell>
          <cell r="D16" t="str">
            <v>8 meses</v>
          </cell>
        </row>
        <row r="17">
          <cell r="A17" t="str">
            <v>Bolivia</v>
          </cell>
          <cell r="B17" t="str">
            <v>Data Mart O.S.</v>
          </cell>
          <cell r="D17" t="str">
            <v>9 meses</v>
          </cell>
        </row>
        <row r="18">
          <cell r="A18" t="str">
            <v>Venezuela</v>
          </cell>
          <cell r="B18" t="str">
            <v>Close-Up Market</v>
          </cell>
          <cell r="D18" t="str">
            <v>10 meses</v>
          </cell>
        </row>
        <row r="19">
          <cell r="A19" t="str">
            <v>EEUU</v>
          </cell>
          <cell r="B19" t="str">
            <v>Close-Up Targeting</v>
          </cell>
          <cell r="D19" t="str">
            <v>11 meses</v>
          </cell>
        </row>
        <row r="20">
          <cell r="A20" t="str">
            <v>Portugal</v>
          </cell>
          <cell r="B20" t="str">
            <v>Close-Up Rep's</v>
          </cell>
          <cell r="D20" t="str">
            <v>12 meses</v>
          </cell>
        </row>
        <row r="21">
          <cell r="A21" t="str">
            <v>Suiza</v>
          </cell>
          <cell r="B21" t="str">
            <v>Integrador Pharma Mix</v>
          </cell>
          <cell r="D21" t="str">
            <v>13 meses</v>
          </cell>
        </row>
        <row r="22">
          <cell r="B22" t="str">
            <v>Integrador Analyzer</v>
          </cell>
          <cell r="D22" t="str">
            <v>14 meses</v>
          </cell>
        </row>
        <row r="23">
          <cell r="B23" t="str">
            <v>Otros</v>
          </cell>
          <cell r="D23" t="str">
            <v>15 meses</v>
          </cell>
        </row>
        <row r="24">
          <cell r="D24" t="str">
            <v>16 meses</v>
          </cell>
        </row>
        <row r="25">
          <cell r="D25" t="str">
            <v>17 meses</v>
          </cell>
        </row>
        <row r="26">
          <cell r="D26" t="str">
            <v>18 meses</v>
          </cell>
        </row>
        <row r="27">
          <cell r="D27" t="str">
            <v>19 meses</v>
          </cell>
        </row>
        <row r="28">
          <cell r="D28" t="str">
            <v>20 meses</v>
          </cell>
        </row>
        <row r="29">
          <cell r="D29" t="str">
            <v>21 meses</v>
          </cell>
        </row>
        <row r="30">
          <cell r="D30" t="str">
            <v>22 meses</v>
          </cell>
        </row>
        <row r="31">
          <cell r="D31" t="str">
            <v>23 meses</v>
          </cell>
        </row>
        <row r="32">
          <cell r="D32" t="str">
            <v>24 meses</v>
          </cell>
        </row>
        <row r="33">
          <cell r="D33" t="str">
            <v>25 meses</v>
          </cell>
        </row>
        <row r="34">
          <cell r="D34" t="str">
            <v>26 meses</v>
          </cell>
        </row>
        <row r="35">
          <cell r="D35" t="str">
            <v>27 meses</v>
          </cell>
        </row>
        <row r="36">
          <cell r="D36" t="str">
            <v>28 meses</v>
          </cell>
        </row>
        <row r="37">
          <cell r="D37" t="str">
            <v>29 meses</v>
          </cell>
        </row>
        <row r="38">
          <cell r="D38" t="str">
            <v>30 meses</v>
          </cell>
        </row>
        <row r="39">
          <cell r="D39" t="str">
            <v>31 meses</v>
          </cell>
        </row>
        <row r="40">
          <cell r="D40" t="str">
            <v>32 meses</v>
          </cell>
        </row>
        <row r="41">
          <cell r="D41" t="str">
            <v>33 meses</v>
          </cell>
        </row>
        <row r="42">
          <cell r="D42" t="str">
            <v>34 meses</v>
          </cell>
        </row>
        <row r="43">
          <cell r="D43" t="str">
            <v>35 meses</v>
          </cell>
        </row>
        <row r="44">
          <cell r="D44" t="str">
            <v>36 meses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0" Type="http://schemas.openxmlformats.org/officeDocument/2006/relationships/ctrlProp" Target="../ctrlProps/ctrlProp17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22.xml"/><Relationship Id="rId13" Type="http://schemas.openxmlformats.org/officeDocument/2006/relationships/ctrlProp" Target="../ctrlProps/ctrlProp27.xml"/><Relationship Id="rId18" Type="http://schemas.openxmlformats.org/officeDocument/2006/relationships/ctrlProp" Target="../ctrlProps/ctrlProp32.xml"/><Relationship Id="rId3" Type="http://schemas.openxmlformats.org/officeDocument/2006/relationships/vmlDrawing" Target="../drawings/vmlDrawing2.vml"/><Relationship Id="rId7" Type="http://schemas.openxmlformats.org/officeDocument/2006/relationships/ctrlProp" Target="../ctrlProps/ctrlProp21.xml"/><Relationship Id="rId12" Type="http://schemas.openxmlformats.org/officeDocument/2006/relationships/ctrlProp" Target="../ctrlProps/ctrlProp26.xml"/><Relationship Id="rId17" Type="http://schemas.openxmlformats.org/officeDocument/2006/relationships/ctrlProp" Target="../ctrlProps/ctrlProp31.xml"/><Relationship Id="rId2" Type="http://schemas.openxmlformats.org/officeDocument/2006/relationships/drawing" Target="../drawings/drawing2.xml"/><Relationship Id="rId16" Type="http://schemas.openxmlformats.org/officeDocument/2006/relationships/ctrlProp" Target="../ctrlProps/ctrlProp30.xml"/><Relationship Id="rId20" Type="http://schemas.openxmlformats.org/officeDocument/2006/relationships/ctrlProp" Target="../ctrlProps/ctrlProp34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20.xml"/><Relationship Id="rId11" Type="http://schemas.openxmlformats.org/officeDocument/2006/relationships/ctrlProp" Target="../ctrlProps/ctrlProp25.xml"/><Relationship Id="rId5" Type="http://schemas.openxmlformats.org/officeDocument/2006/relationships/ctrlProp" Target="../ctrlProps/ctrlProp19.xml"/><Relationship Id="rId15" Type="http://schemas.openxmlformats.org/officeDocument/2006/relationships/ctrlProp" Target="../ctrlProps/ctrlProp29.xml"/><Relationship Id="rId10" Type="http://schemas.openxmlformats.org/officeDocument/2006/relationships/ctrlProp" Target="../ctrlProps/ctrlProp24.xml"/><Relationship Id="rId19" Type="http://schemas.openxmlformats.org/officeDocument/2006/relationships/ctrlProp" Target="../ctrlProps/ctrlProp33.xml"/><Relationship Id="rId4" Type="http://schemas.openxmlformats.org/officeDocument/2006/relationships/ctrlProp" Target="../ctrlProps/ctrlProp18.xml"/><Relationship Id="rId9" Type="http://schemas.openxmlformats.org/officeDocument/2006/relationships/ctrlProp" Target="../ctrlProps/ctrlProp23.xml"/><Relationship Id="rId14" Type="http://schemas.openxmlformats.org/officeDocument/2006/relationships/ctrlProp" Target="../ctrlProps/ctrlProp2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97"/>
  <sheetViews>
    <sheetView tabSelected="1" workbookViewId="0">
      <selection activeCell="D21" sqref="D21:I21"/>
    </sheetView>
  </sheetViews>
  <sheetFormatPr baseColWidth="10" defaultColWidth="11.42578125" defaultRowHeight="12" x14ac:dyDescent="0.2"/>
  <cols>
    <col min="1" max="1" width="2.140625" style="13" customWidth="1"/>
    <col min="2" max="2" width="8" style="13" customWidth="1"/>
    <col min="3" max="3" width="8.7109375" style="13" customWidth="1"/>
    <col min="4" max="4" width="1.7109375" style="13" customWidth="1"/>
    <col min="5" max="5" width="4.85546875" style="13" customWidth="1"/>
    <col min="6" max="6" width="6.28515625" style="13" customWidth="1"/>
    <col min="7" max="8" width="7.28515625" style="13" customWidth="1"/>
    <col min="9" max="9" width="1.7109375" style="13" customWidth="1"/>
    <col min="10" max="10" width="5.140625" style="13" customWidth="1"/>
    <col min="11" max="11" width="7.7109375" style="13" customWidth="1"/>
    <col min="12" max="12" width="7.85546875" style="13" customWidth="1"/>
    <col min="13" max="13" width="8.28515625" style="13" customWidth="1"/>
    <col min="14" max="14" width="1.7109375" style="13" customWidth="1"/>
    <col min="15" max="15" width="5.140625" style="13" customWidth="1"/>
    <col min="16" max="16" width="10.85546875" style="13" customWidth="1"/>
    <col min="17" max="17" width="7.140625" style="13" customWidth="1"/>
    <col min="18" max="18" width="6.28515625" style="13" customWidth="1"/>
    <col min="19" max="20" width="4.85546875" style="13" customWidth="1"/>
    <col min="21" max="16384" width="11.42578125" style="13"/>
  </cols>
  <sheetData>
    <row r="1" spans="1:20" ht="5.0999999999999996" customHeight="1" x14ac:dyDescent="0.2">
      <c r="A1" s="43"/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5"/>
    </row>
    <row r="2" spans="1:20" ht="9.9499999999999993" customHeight="1" x14ac:dyDescent="0.2">
      <c r="A2" s="46"/>
      <c r="T2" s="47"/>
    </row>
    <row r="3" spans="1:20" ht="9.9499999999999993" customHeight="1" x14ac:dyDescent="0.2">
      <c r="A3" s="46"/>
      <c r="T3" s="47"/>
    </row>
    <row r="4" spans="1:20" ht="9.9499999999999993" customHeight="1" x14ac:dyDescent="0.2">
      <c r="A4" s="46"/>
      <c r="T4" s="47"/>
    </row>
    <row r="5" spans="1:20" s="1" customFormat="1" ht="26.25" x14ac:dyDescent="0.4">
      <c r="A5" s="48"/>
      <c r="B5" s="5" t="s">
        <v>7</v>
      </c>
      <c r="C5" s="5"/>
      <c r="D5" s="6"/>
      <c r="E5" s="6"/>
      <c r="F5" s="6"/>
      <c r="G5" s="6"/>
      <c r="H5" s="6"/>
      <c r="I5" s="6"/>
      <c r="J5" s="6"/>
      <c r="K5" s="6"/>
      <c r="L5" s="6"/>
      <c r="M5" s="6"/>
      <c r="T5" s="49"/>
    </row>
    <row r="6" spans="1:20" s="1" customFormat="1" ht="15" x14ac:dyDescent="0.25">
      <c r="A6" s="48"/>
      <c r="T6" s="49"/>
    </row>
    <row r="7" spans="1:20" s="18" customFormat="1" ht="15" customHeight="1" x14ac:dyDescent="0.2">
      <c r="A7" s="50"/>
      <c r="B7" s="2" t="s">
        <v>134</v>
      </c>
      <c r="D7" s="108" t="s">
        <v>22</v>
      </c>
      <c r="E7" s="108"/>
      <c r="F7" s="108"/>
      <c r="G7" s="108"/>
      <c r="Q7" s="28" t="s">
        <v>9</v>
      </c>
      <c r="R7" s="109">
        <v>45317</v>
      </c>
      <c r="S7" s="109"/>
      <c r="T7" s="51"/>
    </row>
    <row r="8" spans="1:20" s="1" customFormat="1" ht="5.0999999999999996" customHeight="1" x14ac:dyDescent="0.25">
      <c r="A8" s="48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9"/>
    </row>
    <row r="9" spans="1:20" s="1" customFormat="1" ht="5.0999999999999996" customHeight="1" x14ac:dyDescent="0.25">
      <c r="A9" s="48"/>
      <c r="T9" s="49"/>
    </row>
    <row r="10" spans="1:20" s="18" customFormat="1" ht="15" customHeight="1" x14ac:dyDescent="0.25">
      <c r="A10" s="50"/>
      <c r="B10" s="2"/>
      <c r="K10" s="31" t="s">
        <v>100</v>
      </c>
      <c r="L10" s="31"/>
      <c r="P10" s="108" t="s">
        <v>160</v>
      </c>
      <c r="Q10" s="108"/>
      <c r="R10" s="108"/>
      <c r="S10" s="108"/>
      <c r="T10" s="51"/>
    </row>
    <row r="11" spans="1:20" ht="9.9499999999999993" customHeight="1" x14ac:dyDescent="0.2">
      <c r="A11" s="46"/>
      <c r="T11" s="47"/>
    </row>
    <row r="12" spans="1:20" s="18" customFormat="1" ht="15" customHeight="1" x14ac:dyDescent="0.25">
      <c r="A12" s="50"/>
      <c r="C12" s="31" t="s">
        <v>27</v>
      </c>
      <c r="L12" s="31" t="s">
        <v>28</v>
      </c>
      <c r="M12" s="31"/>
      <c r="O12" s="31"/>
      <c r="T12" s="51"/>
    </row>
    <row r="13" spans="1:20" x14ac:dyDescent="0.2">
      <c r="A13" s="46"/>
      <c r="M13" s="32" t="s">
        <v>91</v>
      </c>
      <c r="N13" s="32"/>
      <c r="T13" s="47"/>
    </row>
    <row r="14" spans="1:20" x14ac:dyDescent="0.2">
      <c r="A14" s="46"/>
      <c r="M14" s="32" t="s">
        <v>92</v>
      </c>
      <c r="N14" s="32"/>
      <c r="T14" s="47"/>
    </row>
    <row r="15" spans="1:20" x14ac:dyDescent="0.2">
      <c r="A15" s="46"/>
      <c r="M15" s="32" t="s">
        <v>93</v>
      </c>
      <c r="N15" s="32"/>
      <c r="T15" s="47"/>
    </row>
    <row r="16" spans="1:20" ht="5.0999999999999996" customHeight="1" x14ac:dyDescent="0.2">
      <c r="A16" s="46"/>
      <c r="T16" s="47"/>
    </row>
    <row r="17" spans="1:20" s="11" customFormat="1" ht="3" customHeight="1" x14ac:dyDescent="0.2">
      <c r="A17" s="5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53"/>
    </row>
    <row r="18" spans="1:20" s="11" customFormat="1" ht="5.0999999999999996" customHeight="1" x14ac:dyDescent="0.2">
      <c r="A18" s="52"/>
      <c r="T18" s="53"/>
    </row>
    <row r="19" spans="1:20" ht="15" customHeight="1" x14ac:dyDescent="0.2">
      <c r="A19" s="46"/>
      <c r="B19" s="2" t="s">
        <v>31</v>
      </c>
      <c r="T19" s="47"/>
    </row>
    <row r="20" spans="1:20" ht="9.9499999999999993" customHeight="1" x14ac:dyDescent="0.2">
      <c r="A20" s="46"/>
      <c r="T20" s="47"/>
    </row>
    <row r="21" spans="1:20" s="18" customFormat="1" ht="15" customHeight="1" x14ac:dyDescent="0.25">
      <c r="A21" s="50"/>
      <c r="B21" s="31" t="s">
        <v>35</v>
      </c>
      <c r="D21" s="108" t="s">
        <v>161</v>
      </c>
      <c r="E21" s="108"/>
      <c r="F21" s="108"/>
      <c r="G21" s="108"/>
      <c r="H21" s="108"/>
      <c r="I21" s="108"/>
      <c r="L21" s="31" t="s">
        <v>36</v>
      </c>
      <c r="O21" s="108" t="s">
        <v>106</v>
      </c>
      <c r="P21" s="108"/>
      <c r="Q21" s="108"/>
      <c r="R21" s="108"/>
      <c r="S21" s="108"/>
      <c r="T21" s="51"/>
    </row>
    <row r="22" spans="1:20" ht="9.9499999999999993" customHeight="1" x14ac:dyDescent="0.2">
      <c r="A22" s="46"/>
      <c r="T22" s="47"/>
    </row>
    <row r="23" spans="1:20" s="18" customFormat="1" ht="15" customHeight="1" thickBot="1" x14ac:dyDescent="0.25">
      <c r="A23" s="50"/>
      <c r="B23" s="3" t="s">
        <v>82</v>
      </c>
      <c r="F23" s="13"/>
      <c r="G23" s="110">
        <v>45001</v>
      </c>
      <c r="H23" s="111"/>
      <c r="I23" s="111"/>
      <c r="L23" s="31" t="s">
        <v>159</v>
      </c>
      <c r="P23" s="101" t="s">
        <v>33</v>
      </c>
      <c r="Q23" s="103"/>
      <c r="R23" s="103"/>
      <c r="S23" s="103"/>
      <c r="T23" s="51"/>
    </row>
    <row r="24" spans="1:20" s="18" customFormat="1" ht="15" customHeight="1" x14ac:dyDescent="0.2">
      <c r="A24" s="50"/>
      <c r="B24" s="3"/>
      <c r="F24" s="13"/>
      <c r="L24" s="31"/>
      <c r="O24" s="13"/>
      <c r="P24" s="102" t="s">
        <v>34</v>
      </c>
      <c r="Q24" s="100"/>
      <c r="R24" s="100"/>
      <c r="S24" s="100"/>
      <c r="T24" s="51"/>
    </row>
    <row r="25" spans="1:20" ht="9.9499999999999993" customHeight="1" x14ac:dyDescent="0.2">
      <c r="A25" s="46"/>
      <c r="T25" s="47"/>
    </row>
    <row r="26" spans="1:20" ht="15" customHeight="1" x14ac:dyDescent="0.2">
      <c r="A26" s="46"/>
      <c r="B26" s="31" t="s">
        <v>90</v>
      </c>
      <c r="C26" s="18"/>
      <c r="D26" s="108" t="s">
        <v>40</v>
      </c>
      <c r="E26" s="108"/>
      <c r="F26" s="108"/>
      <c r="G26" s="108"/>
      <c r="I26" s="14"/>
      <c r="J26" s="114" t="s">
        <v>83</v>
      </c>
      <c r="K26" s="114"/>
      <c r="L26" s="114"/>
      <c r="M26" s="33" t="s">
        <v>38</v>
      </c>
      <c r="N26" s="112">
        <v>45292</v>
      </c>
      <c r="O26" s="112"/>
      <c r="P26" s="112"/>
      <c r="Q26" s="33" t="s">
        <v>39</v>
      </c>
      <c r="R26" s="112">
        <v>46054</v>
      </c>
      <c r="S26" s="112"/>
      <c r="T26" s="113"/>
    </row>
    <row r="27" spans="1:20" ht="5.0999999999999996" customHeight="1" x14ac:dyDescent="0.2">
      <c r="A27" s="46"/>
      <c r="T27" s="47"/>
    </row>
    <row r="28" spans="1:20" s="11" customFormat="1" ht="3" customHeight="1" x14ac:dyDescent="0.2">
      <c r="A28" s="5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53"/>
    </row>
    <row r="29" spans="1:20" s="11" customFormat="1" ht="5.0999999999999996" customHeight="1" x14ac:dyDescent="0.2">
      <c r="A29" s="52"/>
      <c r="T29" s="53"/>
    </row>
    <row r="30" spans="1:20" ht="12.75" x14ac:dyDescent="0.2">
      <c r="A30" s="46"/>
      <c r="B30" s="2" t="s">
        <v>84</v>
      </c>
      <c r="T30" s="47"/>
    </row>
    <row r="31" spans="1:20" ht="9.9499999999999993" customHeight="1" x14ac:dyDescent="0.2">
      <c r="A31" s="46"/>
      <c r="T31" s="47"/>
    </row>
    <row r="32" spans="1:20" ht="15" customHeight="1" x14ac:dyDescent="0.2">
      <c r="A32" s="46"/>
      <c r="B32" s="31" t="s">
        <v>89</v>
      </c>
      <c r="D32" s="118" t="s">
        <v>86</v>
      </c>
      <c r="E32" s="118"/>
      <c r="F32" s="118"/>
      <c r="G32" s="118"/>
      <c r="T32" s="47"/>
    </row>
    <row r="33" spans="1:21" x14ac:dyDescent="0.2">
      <c r="A33" s="46"/>
      <c r="T33" s="47"/>
    </row>
    <row r="34" spans="1:21" ht="14.25" customHeight="1" x14ac:dyDescent="0.2">
      <c r="A34" s="46"/>
      <c r="E34" s="115" t="s">
        <v>81</v>
      </c>
      <c r="F34" s="116"/>
      <c r="G34" s="116"/>
      <c r="H34" s="117"/>
      <c r="J34" s="115" t="s">
        <v>76</v>
      </c>
      <c r="K34" s="116"/>
      <c r="L34" s="116"/>
      <c r="M34" s="117"/>
      <c r="O34" s="115" t="s">
        <v>0</v>
      </c>
      <c r="P34" s="116"/>
      <c r="Q34" s="116"/>
      <c r="R34" s="116"/>
      <c r="S34" s="117"/>
      <c r="T34" s="47"/>
    </row>
    <row r="35" spans="1:21" ht="24" x14ac:dyDescent="0.2">
      <c r="A35" s="46"/>
      <c r="E35" s="19" t="s">
        <v>77</v>
      </c>
      <c r="F35" s="20" t="s">
        <v>79</v>
      </c>
      <c r="G35" s="20" t="s">
        <v>78</v>
      </c>
      <c r="H35" s="21" t="s">
        <v>80</v>
      </c>
      <c r="J35" s="19" t="s">
        <v>77</v>
      </c>
      <c r="K35" s="20" t="s">
        <v>79</v>
      </c>
      <c r="L35" s="20" t="s">
        <v>78</v>
      </c>
      <c r="M35" s="21" t="s">
        <v>80</v>
      </c>
      <c r="O35" s="19" t="s">
        <v>77</v>
      </c>
      <c r="P35" s="20" t="s">
        <v>79</v>
      </c>
      <c r="Q35" s="20" t="s">
        <v>78</v>
      </c>
      <c r="R35" s="21" t="s">
        <v>80</v>
      </c>
      <c r="S35" s="27" t="s">
        <v>1</v>
      </c>
      <c r="T35" s="47"/>
    </row>
    <row r="36" spans="1:21" ht="5.0999999999999996" customHeight="1" x14ac:dyDescent="0.2">
      <c r="A36" s="46"/>
      <c r="E36" s="63"/>
      <c r="F36" s="63"/>
      <c r="G36" s="63"/>
      <c r="H36" s="63"/>
      <c r="I36" s="63"/>
      <c r="J36" s="63"/>
      <c r="K36" s="63"/>
      <c r="L36" s="63"/>
      <c r="M36" s="63"/>
      <c r="T36" s="47"/>
    </row>
    <row r="37" spans="1:21" s="18" customFormat="1" ht="15" customHeight="1" x14ac:dyDescent="0.2">
      <c r="A37" s="46"/>
      <c r="B37" s="14" t="s">
        <v>110</v>
      </c>
      <c r="C37" s="13"/>
      <c r="D37" s="13"/>
      <c r="E37" s="119"/>
      <c r="F37" s="119"/>
      <c r="G37" s="119"/>
      <c r="H37" s="119"/>
      <c r="I37" s="64"/>
      <c r="J37" s="119"/>
      <c r="K37" s="119"/>
      <c r="L37" s="119"/>
      <c r="M37" s="119"/>
      <c r="O37" s="13"/>
      <c r="P37" s="13"/>
      <c r="Q37" s="13"/>
      <c r="R37" s="13"/>
      <c r="S37" s="13"/>
      <c r="T37" s="51"/>
    </row>
    <row r="38" spans="1:21" x14ac:dyDescent="0.2">
      <c r="A38" s="46"/>
      <c r="E38" s="63"/>
      <c r="F38" s="63"/>
      <c r="G38" s="63"/>
      <c r="H38" s="63"/>
      <c r="I38" s="63"/>
      <c r="J38" s="63"/>
      <c r="K38" s="63"/>
      <c r="L38" s="63"/>
      <c r="M38" s="63"/>
      <c r="T38" s="47"/>
    </row>
    <row r="39" spans="1:21" x14ac:dyDescent="0.2">
      <c r="A39" s="46"/>
      <c r="B39" s="68" t="s">
        <v>125</v>
      </c>
      <c r="E39" s="63"/>
      <c r="F39" s="63"/>
      <c r="G39" s="63"/>
      <c r="H39" s="63"/>
      <c r="I39" s="63"/>
      <c r="J39" s="63"/>
      <c r="K39" s="63"/>
      <c r="L39" s="63"/>
      <c r="M39" s="63"/>
      <c r="T39" s="47"/>
    </row>
    <row r="40" spans="1:21" ht="5.0999999999999996" customHeight="1" x14ac:dyDescent="0.2">
      <c r="A40" s="46"/>
      <c r="E40" s="63"/>
      <c r="F40" s="63"/>
      <c r="G40" s="63"/>
      <c r="H40" s="63"/>
      <c r="I40" s="63"/>
      <c r="J40" s="63"/>
      <c r="K40" s="63"/>
      <c r="L40" s="63"/>
      <c r="M40" s="63"/>
      <c r="T40" s="47"/>
    </row>
    <row r="41" spans="1:21" ht="15" customHeight="1" x14ac:dyDescent="0.2">
      <c r="A41" s="46"/>
      <c r="B41" s="24" t="s">
        <v>119</v>
      </c>
      <c r="C41" s="24"/>
      <c r="E41" s="25">
        <v>10</v>
      </c>
      <c r="F41" s="25">
        <v>45</v>
      </c>
      <c r="G41" s="25">
        <f>E41*F41</f>
        <v>450</v>
      </c>
      <c r="H41" s="26">
        <f>G41</f>
        <v>450</v>
      </c>
      <c r="I41" s="34"/>
      <c r="J41" s="25">
        <v>10</v>
      </c>
      <c r="K41" s="25">
        <v>45</v>
      </c>
      <c r="L41" s="25">
        <v>500</v>
      </c>
      <c r="M41" s="26">
        <f>L41</f>
        <v>500</v>
      </c>
      <c r="N41" s="34"/>
      <c r="O41" s="25">
        <f>J41-E41</f>
        <v>0</v>
      </c>
      <c r="P41" s="25">
        <f>K41-F41</f>
        <v>0</v>
      </c>
      <c r="Q41" s="25">
        <f>L41-G41</f>
        <v>50</v>
      </c>
      <c r="R41" s="26">
        <f>M41-H41</f>
        <v>50</v>
      </c>
      <c r="S41" s="96">
        <f>IFERROR(R41/M41,"-")</f>
        <v>0.1</v>
      </c>
      <c r="T41" s="47"/>
      <c r="U41" s="107"/>
    </row>
    <row r="42" spans="1:21" ht="5.0999999999999996" customHeight="1" x14ac:dyDescent="0.2">
      <c r="A42" s="46"/>
      <c r="S42" s="96" t="str">
        <f t="shared" ref="S42:S49" si="0">IFERROR(R42/M42,"-")</f>
        <v>-</v>
      </c>
      <c r="T42" s="47"/>
    </row>
    <row r="43" spans="1:21" ht="15" customHeight="1" x14ac:dyDescent="0.2">
      <c r="A43" s="46"/>
      <c r="B43" s="24" t="s">
        <v>122</v>
      </c>
      <c r="C43" s="24"/>
      <c r="E43" s="25"/>
      <c r="F43" s="25"/>
      <c r="G43" s="25"/>
      <c r="H43" s="26">
        <f>G43-(G43*0.3)</f>
        <v>0</v>
      </c>
      <c r="I43" s="34"/>
      <c r="J43" s="25"/>
      <c r="K43" s="25"/>
      <c r="L43" s="25"/>
      <c r="M43" s="26">
        <f>L43-(L43*0.3)</f>
        <v>0</v>
      </c>
      <c r="N43" s="34"/>
      <c r="O43" s="25">
        <f>J43-E43</f>
        <v>0</v>
      </c>
      <c r="P43" s="25">
        <f>K43-F43</f>
        <v>0</v>
      </c>
      <c r="Q43" s="25">
        <f>L43-G43</f>
        <v>0</v>
      </c>
      <c r="R43" s="26">
        <f>M43-H43</f>
        <v>0</v>
      </c>
      <c r="S43" s="96" t="str">
        <f t="shared" si="0"/>
        <v>-</v>
      </c>
      <c r="T43" s="47"/>
    </row>
    <row r="44" spans="1:21" ht="5.0999999999999996" customHeight="1" x14ac:dyDescent="0.2">
      <c r="A44" s="46"/>
      <c r="S44" s="96" t="str">
        <f t="shared" si="0"/>
        <v>-</v>
      </c>
      <c r="T44" s="47"/>
    </row>
    <row r="45" spans="1:21" ht="15" customHeight="1" x14ac:dyDescent="0.2">
      <c r="A45" s="46"/>
      <c r="B45" s="24" t="s">
        <v>121</v>
      </c>
      <c r="C45" s="24"/>
      <c r="E45" s="25"/>
      <c r="F45" s="25"/>
      <c r="G45" s="25">
        <f>E45*F45</f>
        <v>0</v>
      </c>
      <c r="H45" s="26"/>
      <c r="I45" s="34"/>
      <c r="J45" s="25"/>
      <c r="K45" s="25"/>
      <c r="L45" s="25">
        <f>J45*K45</f>
        <v>0</v>
      </c>
      <c r="M45" s="26"/>
      <c r="N45" s="34"/>
      <c r="O45" s="25">
        <f>J45-E45</f>
        <v>0</v>
      </c>
      <c r="P45" s="25">
        <f>K45-F45</f>
        <v>0</v>
      </c>
      <c r="Q45" s="25">
        <f>L45-G45</f>
        <v>0</v>
      </c>
      <c r="R45" s="26">
        <f>M45-H45</f>
        <v>0</v>
      </c>
      <c r="S45" s="96" t="str">
        <f t="shared" si="0"/>
        <v>-</v>
      </c>
      <c r="T45" s="47"/>
    </row>
    <row r="46" spans="1:21" ht="5.0999999999999996" customHeight="1" x14ac:dyDescent="0.2">
      <c r="A46" s="46"/>
      <c r="S46" s="96" t="str">
        <f t="shared" si="0"/>
        <v>-</v>
      </c>
      <c r="T46" s="47"/>
    </row>
    <row r="47" spans="1:21" ht="15" customHeight="1" x14ac:dyDescent="0.2">
      <c r="A47" s="46"/>
      <c r="B47" s="24" t="s">
        <v>133</v>
      </c>
      <c r="C47" s="24"/>
      <c r="E47" s="25"/>
      <c r="F47" s="25"/>
      <c r="G47" s="25">
        <f>E47*F47</f>
        <v>0</v>
      </c>
      <c r="H47" s="26"/>
      <c r="I47" s="34"/>
      <c r="J47" s="25"/>
      <c r="K47" s="25"/>
      <c r="L47" s="25">
        <f>J47*K47</f>
        <v>0</v>
      </c>
      <c r="M47" s="26"/>
      <c r="N47" s="34"/>
      <c r="O47" s="25">
        <f>J47-E47</f>
        <v>0</v>
      </c>
      <c r="P47" s="25">
        <f>K47-F47</f>
        <v>0</v>
      </c>
      <c r="Q47" s="25">
        <f>L47-G47</f>
        <v>0</v>
      </c>
      <c r="R47" s="26">
        <f>M47-H47</f>
        <v>0</v>
      </c>
      <c r="S47" s="96" t="str">
        <f t="shared" si="0"/>
        <v>-</v>
      </c>
      <c r="T47" s="47"/>
    </row>
    <row r="48" spans="1:21" ht="5.0999999999999996" customHeight="1" x14ac:dyDescent="0.2">
      <c r="A48" s="46"/>
      <c r="S48" s="96" t="str">
        <f t="shared" si="0"/>
        <v>-</v>
      </c>
      <c r="T48" s="47"/>
    </row>
    <row r="49" spans="1:21" ht="15" customHeight="1" x14ac:dyDescent="0.2">
      <c r="A49" s="46"/>
      <c r="B49" s="24" t="s">
        <v>124</v>
      </c>
      <c r="C49" s="24"/>
      <c r="E49" s="25"/>
      <c r="F49" s="25"/>
      <c r="G49" s="25">
        <f>E49*F49</f>
        <v>0</v>
      </c>
      <c r="H49" s="26"/>
      <c r="I49" s="34"/>
      <c r="J49" s="25"/>
      <c r="K49" s="25"/>
      <c r="L49" s="25">
        <f>J49*K49</f>
        <v>0</v>
      </c>
      <c r="M49" s="26"/>
      <c r="N49" s="34"/>
      <c r="O49" s="25">
        <f>J49-E49</f>
        <v>0</v>
      </c>
      <c r="P49" s="25">
        <f>K49-F49</f>
        <v>0</v>
      </c>
      <c r="Q49" s="25">
        <f>L49-G49</f>
        <v>0</v>
      </c>
      <c r="R49" s="26">
        <f>M49-H49</f>
        <v>0</v>
      </c>
      <c r="S49" s="96" t="str">
        <f t="shared" si="0"/>
        <v>-</v>
      </c>
      <c r="T49" s="47"/>
    </row>
    <row r="50" spans="1:21" x14ac:dyDescent="0.2">
      <c r="A50" s="46"/>
      <c r="T50" s="47"/>
    </row>
    <row r="51" spans="1:21" s="14" customFormat="1" x14ac:dyDescent="0.2">
      <c r="A51" s="65" t="s">
        <v>128</v>
      </c>
      <c r="B51" s="60" t="s">
        <v>97</v>
      </c>
      <c r="C51" s="60"/>
      <c r="E51" s="61"/>
      <c r="F51" s="61"/>
      <c r="G51" s="61">
        <f>G41+G43+G45+G47+G49</f>
        <v>450</v>
      </c>
      <c r="H51" s="62">
        <f>H41+H43+H45+H47+H49</f>
        <v>450</v>
      </c>
      <c r="I51" s="34"/>
      <c r="J51" s="61"/>
      <c r="K51" s="61"/>
      <c r="L51" s="61">
        <f>L41+L43+L45+L47+L49</f>
        <v>500</v>
      </c>
      <c r="M51" s="62">
        <f>M41+M43+M45+M47+M49</f>
        <v>500</v>
      </c>
      <c r="N51" s="34"/>
      <c r="O51" s="61"/>
      <c r="P51" s="61"/>
      <c r="Q51" s="61">
        <f>Q41+Q43+Q45+Q47+Q49</f>
        <v>50</v>
      </c>
      <c r="R51" s="62">
        <f>R41+R43+R45+R47+R49</f>
        <v>50</v>
      </c>
      <c r="S51" s="97">
        <f>IFERROR(R51/H51,"-")</f>
        <v>0.1111111111111111</v>
      </c>
      <c r="T51" s="55"/>
    </row>
    <row r="52" spans="1:21" ht="2.25" customHeight="1" x14ac:dyDescent="0.2">
      <c r="A52" s="66"/>
      <c r="S52" s="41"/>
    </row>
    <row r="53" spans="1:21" s="14" customFormat="1" x14ac:dyDescent="0.2">
      <c r="A53" s="65" t="s">
        <v>128</v>
      </c>
      <c r="B53" s="57" t="s">
        <v>98</v>
      </c>
      <c r="C53" s="57"/>
      <c r="E53" s="58"/>
      <c r="F53" s="58"/>
      <c r="G53" s="58">
        <f>G51*12</f>
        <v>5400</v>
      </c>
      <c r="H53" s="59">
        <f>H51*12</f>
        <v>5400</v>
      </c>
      <c r="I53" s="34"/>
      <c r="J53" s="58"/>
      <c r="K53" s="58"/>
      <c r="L53" s="58">
        <f>L51*10</f>
        <v>5000</v>
      </c>
      <c r="M53" s="59">
        <f>M51*10</f>
        <v>5000</v>
      </c>
      <c r="N53" s="34"/>
      <c r="O53" s="58"/>
      <c r="P53" s="58"/>
      <c r="Q53" s="58">
        <f>Q51*10</f>
        <v>500</v>
      </c>
      <c r="R53" s="59">
        <f>R51*10</f>
        <v>500</v>
      </c>
      <c r="S53" s="98">
        <f>IFERROR(R53/H53,"-")</f>
        <v>9.2592592592592587E-2</v>
      </c>
      <c r="T53" s="55"/>
    </row>
    <row r="54" spans="1:21" s="29" customFormat="1" x14ac:dyDescent="0.2">
      <c r="A54" s="65"/>
      <c r="B54" s="35" t="s">
        <v>99</v>
      </c>
      <c r="E54" s="36"/>
      <c r="F54" s="36"/>
      <c r="G54" s="36"/>
      <c r="H54" s="37">
        <f>IFERROR(H51/G51-1,0)</f>
        <v>0</v>
      </c>
      <c r="I54" s="36"/>
      <c r="J54" s="36"/>
      <c r="K54" s="36"/>
      <c r="L54" s="36"/>
      <c r="M54" s="37">
        <v>0</v>
      </c>
      <c r="N54" s="36"/>
      <c r="O54" s="36"/>
      <c r="P54" s="36"/>
      <c r="Q54" s="36"/>
      <c r="R54" s="38"/>
      <c r="S54" s="36"/>
      <c r="T54" s="56"/>
    </row>
    <row r="55" spans="1:21" x14ac:dyDescent="0.2">
      <c r="A55" s="66"/>
      <c r="T55" s="56"/>
      <c r="U55" s="29"/>
    </row>
    <row r="56" spans="1:21" x14ac:dyDescent="0.2">
      <c r="A56" s="67"/>
      <c r="B56" s="68" t="s">
        <v>126</v>
      </c>
      <c r="E56" s="63"/>
      <c r="F56" s="63"/>
      <c r="G56" s="63"/>
      <c r="H56" s="63"/>
      <c r="I56" s="63"/>
      <c r="J56" s="63"/>
      <c r="K56" s="63"/>
      <c r="L56" s="63"/>
      <c r="M56" s="63"/>
      <c r="T56" s="47"/>
    </row>
    <row r="57" spans="1:21" ht="5.0999999999999996" customHeight="1" x14ac:dyDescent="0.2">
      <c r="A57" s="67"/>
      <c r="E57" s="63"/>
      <c r="F57" s="63"/>
      <c r="G57" s="63"/>
      <c r="H57" s="63"/>
      <c r="I57" s="63"/>
      <c r="J57" s="63"/>
      <c r="K57" s="63"/>
      <c r="L57" s="63"/>
      <c r="M57" s="63"/>
      <c r="T57" s="47"/>
    </row>
    <row r="58" spans="1:21" ht="15" customHeight="1" x14ac:dyDescent="0.2">
      <c r="A58" s="67"/>
      <c r="B58" s="24" t="s">
        <v>109</v>
      </c>
      <c r="C58" s="24"/>
      <c r="E58" s="25"/>
      <c r="F58" s="25"/>
      <c r="G58" s="25">
        <f>E58*F58</f>
        <v>0</v>
      </c>
      <c r="H58" s="26"/>
      <c r="I58" s="34"/>
      <c r="J58" s="25"/>
      <c r="K58" s="25"/>
      <c r="L58" s="25"/>
      <c r="M58" s="26"/>
      <c r="N58" s="34"/>
      <c r="O58" s="25">
        <f>J58-E58</f>
        <v>0</v>
      </c>
      <c r="P58" s="25">
        <f>K58-F58</f>
        <v>0</v>
      </c>
      <c r="Q58" s="25">
        <f>L58-G58</f>
        <v>0</v>
      </c>
      <c r="R58" s="26">
        <f>M58-H58</f>
        <v>0</v>
      </c>
      <c r="S58" s="96" t="str">
        <f>IFERROR(R58/H58,"-")</f>
        <v>-</v>
      </c>
      <c r="T58" s="47"/>
    </row>
    <row r="59" spans="1:21" ht="5.0999999999999996" customHeight="1" x14ac:dyDescent="0.2">
      <c r="A59" s="67"/>
      <c r="S59" s="41"/>
      <c r="T59" s="47"/>
    </row>
    <row r="60" spans="1:21" ht="15" customHeight="1" x14ac:dyDescent="0.2">
      <c r="A60" s="67"/>
      <c r="B60" s="24" t="s">
        <v>120</v>
      </c>
      <c r="C60" s="24"/>
      <c r="E60" s="25"/>
      <c r="F60" s="25"/>
      <c r="G60" s="25">
        <f>E60*F60</f>
        <v>0</v>
      </c>
      <c r="H60" s="26"/>
      <c r="I60" s="34"/>
      <c r="J60" s="25"/>
      <c r="K60" s="25"/>
      <c r="L60" s="25"/>
      <c r="M60" s="26"/>
      <c r="N60" s="34"/>
      <c r="O60" s="25">
        <f>J60-E60</f>
        <v>0</v>
      </c>
      <c r="P60" s="25">
        <f>K60-F60</f>
        <v>0</v>
      </c>
      <c r="Q60" s="25">
        <f>L60-G60</f>
        <v>0</v>
      </c>
      <c r="R60" s="26">
        <f>M60-H60</f>
        <v>0</v>
      </c>
      <c r="S60" s="96" t="str">
        <f>IFERROR(R60/H60,"-")</f>
        <v>-</v>
      </c>
      <c r="T60" s="47"/>
    </row>
    <row r="61" spans="1:21" ht="5.0999999999999996" customHeight="1" x14ac:dyDescent="0.2">
      <c r="A61" s="67"/>
      <c r="S61" s="41"/>
      <c r="T61" s="47"/>
    </row>
    <row r="62" spans="1:21" ht="15" customHeight="1" x14ac:dyDescent="0.2">
      <c r="A62" s="67"/>
      <c r="B62" s="24" t="s">
        <v>123</v>
      </c>
      <c r="C62" s="24"/>
      <c r="E62" s="25"/>
      <c r="F62" s="25"/>
      <c r="G62" s="25">
        <f>E62*F62</f>
        <v>0</v>
      </c>
      <c r="H62" s="26"/>
      <c r="I62" s="34"/>
      <c r="J62" s="25"/>
      <c r="K62" s="25"/>
      <c r="L62" s="25"/>
      <c r="M62" s="26"/>
      <c r="N62" s="34"/>
      <c r="O62" s="25">
        <f>J62-E62</f>
        <v>0</v>
      </c>
      <c r="P62" s="25">
        <f>K62-F62</f>
        <v>0</v>
      </c>
      <c r="Q62" s="25">
        <f>L62-G62</f>
        <v>0</v>
      </c>
      <c r="R62" s="26">
        <f>M62-H62</f>
        <v>0</v>
      </c>
      <c r="S62" s="96" t="str">
        <f>IFERROR(R62/H62,"-")</f>
        <v>-</v>
      </c>
      <c r="T62" s="47"/>
    </row>
    <row r="63" spans="1:21" ht="5.0999999999999996" customHeight="1" x14ac:dyDescent="0.2">
      <c r="A63" s="46"/>
      <c r="S63" s="41"/>
      <c r="T63" s="47"/>
    </row>
    <row r="64" spans="1:21" ht="15" customHeight="1" x14ac:dyDescent="0.2">
      <c r="A64" s="46"/>
      <c r="B64" s="24" t="s">
        <v>132</v>
      </c>
      <c r="C64" s="24"/>
      <c r="E64" s="25"/>
      <c r="F64" s="25"/>
      <c r="G64" s="25">
        <f>E64*F64</f>
        <v>0</v>
      </c>
      <c r="H64" s="26"/>
      <c r="I64" s="34"/>
      <c r="J64" s="25"/>
      <c r="K64" s="25"/>
      <c r="L64" s="25"/>
      <c r="M64" s="26"/>
      <c r="N64" s="34"/>
      <c r="O64" s="25">
        <f>J64-E64</f>
        <v>0</v>
      </c>
      <c r="P64" s="25">
        <f>K64-F64</f>
        <v>0</v>
      </c>
      <c r="Q64" s="25">
        <f>L64-G64</f>
        <v>0</v>
      </c>
      <c r="R64" s="26">
        <f>M64-H64</f>
        <v>0</v>
      </c>
      <c r="S64" s="96" t="str">
        <f>IFERROR(R64/H64,"-")</f>
        <v>-</v>
      </c>
      <c r="T64" s="47"/>
    </row>
    <row r="65" spans="1:21" x14ac:dyDescent="0.2">
      <c r="A65" s="67"/>
      <c r="S65" s="41"/>
      <c r="T65" s="47"/>
    </row>
    <row r="66" spans="1:21" s="14" customFormat="1" x14ac:dyDescent="0.2">
      <c r="A66" s="65" t="s">
        <v>129</v>
      </c>
      <c r="B66" s="57" t="s">
        <v>98</v>
      </c>
      <c r="C66" s="57"/>
      <c r="E66" s="58"/>
      <c r="F66" s="58"/>
      <c r="G66" s="58">
        <f>G58+G60+G62+G64</f>
        <v>0</v>
      </c>
      <c r="H66" s="59">
        <f>H58+H60+H62+H64</f>
        <v>0</v>
      </c>
      <c r="I66" s="34"/>
      <c r="J66" s="58"/>
      <c r="K66" s="58"/>
      <c r="L66" s="58">
        <f>L58+L60+L62+L64</f>
        <v>0</v>
      </c>
      <c r="M66" s="59">
        <f>M58+M60+M62+M64</f>
        <v>0</v>
      </c>
      <c r="N66" s="34"/>
      <c r="O66" s="58"/>
      <c r="P66" s="58"/>
      <c r="Q66" s="58">
        <f>Q58+Q60+Q62+Q64</f>
        <v>0</v>
      </c>
      <c r="R66" s="59">
        <f>R58+R60+R62+R64</f>
        <v>0</v>
      </c>
      <c r="S66" s="98" t="str">
        <f>IFERROR(R66/H66,"-")</f>
        <v>-</v>
      </c>
      <c r="T66" s="55"/>
    </row>
    <row r="67" spans="1:21" s="29" customFormat="1" x14ac:dyDescent="0.2">
      <c r="A67" s="65"/>
      <c r="B67" s="35" t="s">
        <v>99</v>
      </c>
      <c r="E67" s="36"/>
      <c r="F67" s="36"/>
      <c r="G67" s="36"/>
      <c r="H67" s="37">
        <f>IFERROR(H66/G66-1,0)</f>
        <v>0</v>
      </c>
      <c r="I67" s="36"/>
      <c r="J67" s="36"/>
      <c r="K67" s="36"/>
      <c r="L67" s="36"/>
      <c r="M67" s="37">
        <v>0</v>
      </c>
      <c r="N67" s="36"/>
      <c r="O67" s="36"/>
      <c r="P67" s="36"/>
      <c r="Q67" s="36"/>
      <c r="R67" s="38"/>
      <c r="S67" s="99"/>
      <c r="T67" s="56"/>
    </row>
    <row r="68" spans="1:21" x14ac:dyDescent="0.2">
      <c r="S68" s="41"/>
      <c r="T68" s="56"/>
      <c r="U68" s="29"/>
    </row>
    <row r="69" spans="1:21" s="14" customFormat="1" x14ac:dyDescent="0.2">
      <c r="A69" s="54"/>
      <c r="B69" s="57" t="s">
        <v>127</v>
      </c>
      <c r="C69" s="57"/>
      <c r="E69" s="58"/>
      <c r="F69" s="58"/>
      <c r="G69" s="58">
        <f>G53+G66</f>
        <v>5400</v>
      </c>
      <c r="H69" s="59">
        <f>H53+H66</f>
        <v>5400</v>
      </c>
      <c r="I69" s="34"/>
      <c r="J69" s="58"/>
      <c r="K69" s="58"/>
      <c r="L69" s="58">
        <f>L53+L66</f>
        <v>5000</v>
      </c>
      <c r="M69" s="59">
        <f>M53+M66</f>
        <v>5000</v>
      </c>
      <c r="N69" s="34"/>
      <c r="O69" s="58"/>
      <c r="P69" s="58"/>
      <c r="Q69" s="58">
        <f>Q53+Q66</f>
        <v>500</v>
      </c>
      <c r="R69" s="59">
        <f>R53+R66</f>
        <v>500</v>
      </c>
      <c r="S69" s="98">
        <f>IFERROR(R69/H69,"-")</f>
        <v>9.2592592592592587E-2</v>
      </c>
      <c r="T69" s="55"/>
    </row>
    <row r="70" spans="1:21" ht="9.9499999999999993" customHeight="1" x14ac:dyDescent="0.2">
      <c r="T70" s="56"/>
      <c r="U70" s="29"/>
    </row>
    <row r="71" spans="1:21" ht="9.9499999999999993" customHeight="1" x14ac:dyDescent="0.2">
      <c r="T71" s="56"/>
      <c r="U71" s="29"/>
    </row>
    <row r="72" spans="1:21" s="18" customFormat="1" ht="15" customHeight="1" x14ac:dyDescent="0.25">
      <c r="B72" s="31" t="s">
        <v>130</v>
      </c>
      <c r="H72" s="108"/>
      <c r="I72" s="108"/>
      <c r="J72" s="108"/>
      <c r="T72" s="70"/>
      <c r="U72" s="71"/>
    </row>
    <row r="73" spans="1:21" x14ac:dyDescent="0.2">
      <c r="B73" s="69" t="s">
        <v>131</v>
      </c>
      <c r="T73" s="56"/>
      <c r="U73" s="29"/>
    </row>
    <row r="74" spans="1:21" ht="5.0999999999999996" customHeight="1" x14ac:dyDescent="0.2">
      <c r="A74" s="46"/>
      <c r="T74" s="47"/>
    </row>
    <row r="75" spans="1:21" ht="5.0999999999999996" customHeight="1" x14ac:dyDescent="0.2">
      <c r="A75" s="46"/>
      <c r="T75" s="47"/>
    </row>
    <row r="76" spans="1:21" s="11" customFormat="1" ht="3" customHeight="1" x14ac:dyDescent="0.2">
      <c r="A76" s="5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53"/>
    </row>
    <row r="77" spans="1:21" s="11" customFormat="1" ht="5.0999999999999996" customHeight="1" x14ac:dyDescent="0.2">
      <c r="A77" s="52"/>
      <c r="T77" s="53"/>
    </row>
    <row r="78" spans="1:21" ht="12.75" x14ac:dyDescent="0.2">
      <c r="A78" s="46"/>
      <c r="B78" s="30" t="s">
        <v>96</v>
      </c>
      <c r="T78" s="47"/>
    </row>
    <row r="79" spans="1:21" ht="15" customHeight="1" x14ac:dyDescent="0.2">
      <c r="A79" s="46"/>
      <c r="B79" s="84" t="s">
        <v>162</v>
      </c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47"/>
    </row>
    <row r="80" spans="1:21" ht="15" customHeight="1" x14ac:dyDescent="0.2">
      <c r="A80" s="46"/>
      <c r="B80" s="84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47"/>
    </row>
    <row r="81" spans="1:20" ht="15" customHeight="1" x14ac:dyDescent="0.2">
      <c r="A81" s="46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47"/>
    </row>
    <row r="82" spans="1:20" ht="15" customHeight="1" x14ac:dyDescent="0.2">
      <c r="A82" s="46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47"/>
    </row>
    <row r="83" spans="1:20" ht="15" customHeight="1" x14ac:dyDescent="0.2">
      <c r="A83" s="46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47"/>
    </row>
    <row r="84" spans="1:20" ht="5.0999999999999996" customHeight="1" x14ac:dyDescent="0.2">
      <c r="A84" s="46"/>
      <c r="T84" s="47"/>
    </row>
    <row r="85" spans="1:20" s="11" customFormat="1" ht="3" customHeight="1" x14ac:dyDescent="0.2">
      <c r="A85" s="5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53"/>
    </row>
    <row r="86" spans="1:20" s="11" customFormat="1" ht="5.0999999999999996" customHeight="1" x14ac:dyDescent="0.2">
      <c r="A86" s="52"/>
      <c r="T86" s="53"/>
    </row>
    <row r="87" spans="1:20" ht="15" customHeight="1" x14ac:dyDescent="0.2">
      <c r="A87" s="46"/>
      <c r="B87" s="2" t="s">
        <v>94</v>
      </c>
      <c r="T87" s="47"/>
    </row>
    <row r="88" spans="1:20" ht="9.9499999999999993" customHeight="1" x14ac:dyDescent="0.2">
      <c r="A88" s="46"/>
      <c r="T88" s="47"/>
    </row>
    <row r="89" spans="1:20" s="18" customFormat="1" ht="15" customHeight="1" x14ac:dyDescent="0.25">
      <c r="A89" s="50"/>
      <c r="B89" s="31" t="s">
        <v>2</v>
      </c>
      <c r="F89" s="39" t="s">
        <v>3</v>
      </c>
      <c r="G89" s="72"/>
      <c r="I89" s="39" t="s">
        <v>4</v>
      </c>
      <c r="J89" s="120"/>
      <c r="K89" s="120"/>
      <c r="T89" s="51"/>
    </row>
    <row r="90" spans="1:20" ht="9.9499999999999993" customHeight="1" x14ac:dyDescent="0.2">
      <c r="A90" s="46"/>
      <c r="F90" s="40"/>
      <c r="G90" s="41"/>
      <c r="I90" s="40"/>
      <c r="J90" s="40"/>
      <c r="K90" s="41"/>
      <c r="T90" s="47"/>
    </row>
    <row r="91" spans="1:20" s="18" customFormat="1" ht="15" customHeight="1" x14ac:dyDescent="0.25">
      <c r="A91" s="50"/>
      <c r="B91" s="31" t="s">
        <v>5</v>
      </c>
      <c r="F91" s="39" t="s">
        <v>3</v>
      </c>
      <c r="G91" s="72"/>
      <c r="I91" s="39" t="s">
        <v>4</v>
      </c>
      <c r="J91" s="120"/>
      <c r="K91" s="120"/>
      <c r="T91" s="51"/>
    </row>
    <row r="92" spans="1:20" ht="9.9499999999999993" customHeight="1" x14ac:dyDescent="0.2">
      <c r="A92" s="46"/>
      <c r="F92" s="40"/>
      <c r="G92" s="41"/>
      <c r="I92" s="40"/>
      <c r="J92" s="40"/>
      <c r="K92" s="41"/>
      <c r="T92" s="47"/>
    </row>
    <row r="93" spans="1:20" s="18" customFormat="1" ht="15" customHeight="1" x14ac:dyDescent="0.25">
      <c r="A93" s="50"/>
      <c r="B93" s="31" t="s">
        <v>6</v>
      </c>
      <c r="F93" s="39" t="s">
        <v>3</v>
      </c>
      <c r="G93" s="72"/>
      <c r="I93" s="39" t="s">
        <v>4</v>
      </c>
      <c r="J93" s="120"/>
      <c r="K93" s="120"/>
      <c r="M93" s="42" t="s">
        <v>95</v>
      </c>
      <c r="N93" s="121">
        <v>6.96</v>
      </c>
      <c r="O93" s="121"/>
      <c r="P93" s="121"/>
      <c r="T93" s="51"/>
    </row>
    <row r="94" spans="1:20" ht="9.9499999999999993" customHeight="1" x14ac:dyDescent="0.2">
      <c r="A94" s="46"/>
      <c r="F94" s="40"/>
      <c r="G94" s="41"/>
      <c r="I94" s="40"/>
      <c r="J94" s="40"/>
      <c r="K94" s="41"/>
      <c r="T94" s="47"/>
    </row>
    <row r="95" spans="1:20" s="18" customFormat="1" ht="15" customHeight="1" x14ac:dyDescent="0.25">
      <c r="A95" s="50"/>
      <c r="B95" s="31" t="s">
        <v>157</v>
      </c>
      <c r="F95" s="39" t="s">
        <v>3</v>
      </c>
      <c r="G95" s="72"/>
      <c r="I95" s="39" t="s">
        <v>4</v>
      </c>
      <c r="J95" s="120"/>
      <c r="K95" s="120"/>
      <c r="M95" s="42" t="s">
        <v>158</v>
      </c>
      <c r="N95" s="121"/>
      <c r="O95" s="121"/>
      <c r="P95" s="121"/>
      <c r="T95" s="51"/>
    </row>
    <row r="96" spans="1:20" ht="5.0999999999999996" customHeight="1" x14ac:dyDescent="0.2">
      <c r="A96" s="46"/>
      <c r="T96" s="47"/>
    </row>
    <row r="97" spans="1:20" s="11" customFormat="1" ht="3" customHeight="1" x14ac:dyDescent="0.2">
      <c r="A97" s="5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53"/>
    </row>
  </sheetData>
  <mergeCells count="23">
    <mergeCell ref="N95:P95"/>
    <mergeCell ref="J91:K91"/>
    <mergeCell ref="J93:K93"/>
    <mergeCell ref="N93:P93"/>
    <mergeCell ref="J89:K89"/>
    <mergeCell ref="E37:H37"/>
    <mergeCell ref="J37:M37"/>
    <mergeCell ref="H72:J72"/>
    <mergeCell ref="J95:K95"/>
    <mergeCell ref="D26:G26"/>
    <mergeCell ref="R26:T26"/>
    <mergeCell ref="N26:P26"/>
    <mergeCell ref="J26:L26"/>
    <mergeCell ref="E34:H34"/>
    <mergeCell ref="J34:M34"/>
    <mergeCell ref="O34:S34"/>
    <mergeCell ref="D32:G32"/>
    <mergeCell ref="D7:G7"/>
    <mergeCell ref="R7:S7"/>
    <mergeCell ref="D21:I21"/>
    <mergeCell ref="O21:S21"/>
    <mergeCell ref="G23:I23"/>
    <mergeCell ref="P10:S10"/>
  </mergeCells>
  <dataValidations count="5">
    <dataValidation type="list" allowBlank="1" showInputMessage="1" showErrorMessage="1" sqref="D7:G7" xr:uid="{00000000-0002-0000-0000-000000000000}">
      <formula1>País</formula1>
    </dataValidation>
    <dataValidation type="list" allowBlank="1" showInputMessage="1" showErrorMessage="1" sqref="O21:S21" xr:uid="{00000000-0002-0000-0000-000001000000}">
      <formula1>Producto</formula1>
    </dataValidation>
    <dataValidation type="list" allowBlank="1" showInputMessage="1" showErrorMessage="1" sqref="D26:G26 H72:J72" xr:uid="{00000000-0002-0000-0000-000002000000}">
      <formula1>Vigencia</formula1>
    </dataValidation>
    <dataValidation type="list" allowBlank="1" showInputMessage="1" showErrorMessage="1" sqref="D32:G32" xr:uid="{00000000-0002-0000-0000-000003000000}">
      <formula1>Moneda</formula1>
    </dataValidation>
    <dataValidation type="list" allowBlank="1" showInputMessage="1" showErrorMessage="1" sqref="E37:H37 J37:M37" xr:uid="{00000000-0002-0000-0000-000004000000}">
      <formula1>Modalidad</formula1>
    </dataValidation>
  </dataValidations>
  <pageMargins left="0.23622047244094491" right="0.23622047244094491" top="0.39370078740157483" bottom="0.39370078740157483" header="0.31496062992125984" footer="0.31496062992125984"/>
  <pageSetup scale="85" orientation="portrait" r:id="rId1"/>
  <colBreaks count="1" manualBreakCount="1">
    <brk id="20" max="1048575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6" r:id="rId4" name="Option Button 2">
              <controlPr defaultSize="0" autoFill="0" autoLine="0" autoPict="0">
                <anchor moveWithCells="1">
                  <from>
                    <xdr:col>11</xdr:col>
                    <xdr:colOff>276225</xdr:colOff>
                    <xdr:row>11</xdr:row>
                    <xdr:rowOff>142875</xdr:rowOff>
                  </from>
                  <to>
                    <xdr:col>12</xdr:col>
                    <xdr:colOff>57150</xdr:colOff>
                    <xdr:row>13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5" name="Option Button 3">
              <controlPr defaultSize="0" autoFill="0" autoLine="0" autoPict="0">
                <anchor moveWithCells="1">
                  <from>
                    <xdr:col>11</xdr:col>
                    <xdr:colOff>276225</xdr:colOff>
                    <xdr:row>12</xdr:row>
                    <xdr:rowOff>104775</xdr:rowOff>
                  </from>
                  <to>
                    <xdr:col>12</xdr:col>
                    <xdr:colOff>57150</xdr:colOff>
                    <xdr:row>14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6" name="Option Button 4">
              <controlPr defaultSize="0" autoFill="0" autoLine="0" autoPict="0">
                <anchor moveWithCells="1">
                  <from>
                    <xdr:col>11</xdr:col>
                    <xdr:colOff>276225</xdr:colOff>
                    <xdr:row>13</xdr:row>
                    <xdr:rowOff>104775</xdr:rowOff>
                  </from>
                  <to>
                    <xdr:col>12</xdr:col>
                    <xdr:colOff>57150</xdr:colOff>
                    <xdr:row>15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7" name="Check Box 5">
              <controlPr defaultSize="0" autoFill="0" autoLine="0" autoPict="0">
                <anchor moveWithCells="1">
                  <from>
                    <xdr:col>10</xdr:col>
                    <xdr:colOff>114300</xdr:colOff>
                    <xdr:row>10</xdr:row>
                    <xdr:rowOff>66675</xdr:rowOff>
                  </from>
                  <to>
                    <xdr:col>10</xdr:col>
                    <xdr:colOff>495300</xdr:colOff>
                    <xdr:row>12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8" name="Check Box 6">
              <controlPr defaultSize="0" autoFill="0" autoLine="0" autoPict="0">
                <anchor moveWithCells="1">
                  <from>
                    <xdr:col>1</xdr:col>
                    <xdr:colOff>304800</xdr:colOff>
                    <xdr:row>10</xdr:row>
                    <xdr:rowOff>66675</xdr:rowOff>
                  </from>
                  <to>
                    <xdr:col>2</xdr:col>
                    <xdr:colOff>152400</xdr:colOff>
                    <xdr:row>12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9" name="Check Box 8">
              <controlPr defaultSize="0" autoFill="0" autoLine="0" autoPict="0">
                <anchor moveWithCells="1">
                  <from>
                    <xdr:col>6</xdr:col>
                    <xdr:colOff>133350</xdr:colOff>
                    <xdr:row>87</xdr:row>
                    <xdr:rowOff>114300</xdr:rowOff>
                  </from>
                  <to>
                    <xdr:col>6</xdr:col>
                    <xdr:colOff>438150</xdr:colOff>
                    <xdr:row>89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10" name="Check Box 9">
              <controlPr defaultSize="0" autoFill="0" autoLine="0" autoPict="0">
                <anchor moveWithCells="1">
                  <from>
                    <xdr:col>6</xdr:col>
                    <xdr:colOff>133350</xdr:colOff>
                    <xdr:row>89</xdr:row>
                    <xdr:rowOff>114300</xdr:rowOff>
                  </from>
                  <to>
                    <xdr:col>6</xdr:col>
                    <xdr:colOff>438150</xdr:colOff>
                    <xdr:row>91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11" name="Check Box 10">
              <controlPr defaultSize="0" autoFill="0" autoLine="0" autoPict="0">
                <anchor moveWithCells="1">
                  <from>
                    <xdr:col>6</xdr:col>
                    <xdr:colOff>133350</xdr:colOff>
                    <xdr:row>91</xdr:row>
                    <xdr:rowOff>114300</xdr:rowOff>
                  </from>
                  <to>
                    <xdr:col>6</xdr:col>
                    <xdr:colOff>438150</xdr:colOff>
                    <xdr:row>93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12" name="Check Box 11">
              <controlPr defaultSize="0" autoFill="0" autoLine="0" autoPict="0">
                <anchor moveWithCells="1">
                  <from>
                    <xdr:col>9</xdr:col>
                    <xdr:colOff>200025</xdr:colOff>
                    <xdr:row>87</xdr:row>
                    <xdr:rowOff>114300</xdr:rowOff>
                  </from>
                  <to>
                    <xdr:col>10</xdr:col>
                    <xdr:colOff>161925</xdr:colOff>
                    <xdr:row>89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13" name="Check Box 12">
              <controlPr defaultSize="0" autoFill="0" autoLine="0" autoPict="0">
                <anchor moveWithCells="1">
                  <from>
                    <xdr:col>9</xdr:col>
                    <xdr:colOff>200025</xdr:colOff>
                    <xdr:row>89</xdr:row>
                    <xdr:rowOff>114300</xdr:rowOff>
                  </from>
                  <to>
                    <xdr:col>10</xdr:col>
                    <xdr:colOff>161925</xdr:colOff>
                    <xdr:row>91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14" name="Check Box 13">
              <controlPr defaultSize="0" autoFill="0" autoLine="0" autoPict="0">
                <anchor moveWithCells="1">
                  <from>
                    <xdr:col>9</xdr:col>
                    <xdr:colOff>200025</xdr:colOff>
                    <xdr:row>91</xdr:row>
                    <xdr:rowOff>114300</xdr:rowOff>
                  </from>
                  <to>
                    <xdr:col>10</xdr:col>
                    <xdr:colOff>161925</xdr:colOff>
                    <xdr:row>93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15" name="Check Box 15">
              <controlPr defaultSize="0" autoFill="0" autoLine="0" autoPict="0">
                <anchor moveWithCells="1">
                  <from>
                    <xdr:col>6</xdr:col>
                    <xdr:colOff>133350</xdr:colOff>
                    <xdr:row>93</xdr:row>
                    <xdr:rowOff>114300</xdr:rowOff>
                  </from>
                  <to>
                    <xdr:col>6</xdr:col>
                    <xdr:colOff>438150</xdr:colOff>
                    <xdr:row>95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16" name="Check Box 16">
              <controlPr defaultSize="0" autoFill="0" autoLine="0" autoPict="0">
                <anchor moveWithCells="1">
                  <from>
                    <xdr:col>9</xdr:col>
                    <xdr:colOff>200025</xdr:colOff>
                    <xdr:row>93</xdr:row>
                    <xdr:rowOff>114300</xdr:rowOff>
                  </from>
                  <to>
                    <xdr:col>10</xdr:col>
                    <xdr:colOff>161925</xdr:colOff>
                    <xdr:row>95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17" name="Check Box 18">
              <controlPr defaultSize="0" autoFill="0" autoLine="0" autoPict="0">
                <anchor moveWithCells="1">
                  <from>
                    <xdr:col>14</xdr:col>
                    <xdr:colOff>114300</xdr:colOff>
                    <xdr:row>21</xdr:row>
                    <xdr:rowOff>76200</xdr:rowOff>
                  </from>
                  <to>
                    <xdr:col>15</xdr:col>
                    <xdr:colOff>152400</xdr:colOff>
                    <xdr:row>23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" r:id="rId18" name="Check Box 19">
              <controlPr defaultSize="0" autoFill="0" autoLine="0" autoPict="0">
                <anchor moveWithCells="1">
                  <from>
                    <xdr:col>14</xdr:col>
                    <xdr:colOff>114300</xdr:colOff>
                    <xdr:row>22</xdr:row>
                    <xdr:rowOff>133350</xdr:rowOff>
                  </from>
                  <to>
                    <xdr:col>15</xdr:col>
                    <xdr:colOff>152400</xdr:colOff>
                    <xdr:row>24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19" name="Check Box 20">
              <controlPr defaultSize="0" autoFill="0" autoLine="0" autoPict="0">
                <anchor moveWithCells="1">
                  <from>
                    <xdr:col>14</xdr:col>
                    <xdr:colOff>114300</xdr:colOff>
                    <xdr:row>21</xdr:row>
                    <xdr:rowOff>76200</xdr:rowOff>
                  </from>
                  <to>
                    <xdr:col>15</xdr:col>
                    <xdr:colOff>152400</xdr:colOff>
                    <xdr:row>23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20" name="Check Box 21">
              <controlPr defaultSize="0" autoFill="0" autoLine="0" autoPict="0">
                <anchor moveWithCells="1">
                  <from>
                    <xdr:col>14</xdr:col>
                    <xdr:colOff>114300</xdr:colOff>
                    <xdr:row>22</xdr:row>
                    <xdr:rowOff>133350</xdr:rowOff>
                  </from>
                  <to>
                    <xdr:col>15</xdr:col>
                    <xdr:colOff>152400</xdr:colOff>
                    <xdr:row>24</xdr:row>
                    <xdr:rowOff>47625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99"/>
  <sheetViews>
    <sheetView zoomScale="85" zoomScaleNormal="85" workbookViewId="0">
      <selection activeCell="B7" sqref="B7"/>
    </sheetView>
  </sheetViews>
  <sheetFormatPr baseColWidth="10" defaultColWidth="11.42578125" defaultRowHeight="12" x14ac:dyDescent="0.2"/>
  <cols>
    <col min="1" max="1" width="1.5703125" style="13" customWidth="1"/>
    <col min="2" max="2" width="8.140625" style="13" customWidth="1"/>
    <col min="3" max="3" width="10" style="13" customWidth="1"/>
    <col min="4" max="4" width="1.7109375" style="13" customWidth="1"/>
    <col min="5" max="5" width="12.42578125" style="13" customWidth="1"/>
    <col min="6" max="6" width="11" style="13" customWidth="1"/>
    <col min="7" max="7" width="3.140625" style="13" customWidth="1"/>
    <col min="8" max="8" width="12.85546875" style="13" customWidth="1"/>
    <col min="9" max="9" width="10" style="13" customWidth="1"/>
    <col min="10" max="10" width="2.7109375" style="13" customWidth="1"/>
    <col min="11" max="11" width="9.140625" style="13" customWidth="1"/>
    <col min="12" max="12" width="9.7109375" style="13" customWidth="1"/>
    <col min="13" max="13" width="6.42578125" style="13" customWidth="1"/>
    <col min="14" max="14" width="4.42578125" style="13" customWidth="1"/>
    <col min="15" max="16384" width="11.42578125" style="13"/>
  </cols>
  <sheetData>
    <row r="1" spans="1:14" ht="5.0999999999999996" customHeight="1" x14ac:dyDescent="0.2">
      <c r="A1" s="43"/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5"/>
    </row>
    <row r="2" spans="1:14" ht="9.9499999999999993" customHeight="1" x14ac:dyDescent="0.2">
      <c r="A2" s="46"/>
      <c r="N2" s="47"/>
    </row>
    <row r="3" spans="1:14" ht="9.9499999999999993" customHeight="1" x14ac:dyDescent="0.2">
      <c r="A3" s="46"/>
      <c r="N3" s="47"/>
    </row>
    <row r="4" spans="1:14" ht="9.9499999999999993" customHeight="1" x14ac:dyDescent="0.2">
      <c r="A4" s="46"/>
      <c r="N4" s="47"/>
    </row>
    <row r="5" spans="1:14" s="1" customFormat="1" ht="26.25" x14ac:dyDescent="0.4">
      <c r="A5" s="48"/>
      <c r="B5" s="5" t="s">
        <v>7</v>
      </c>
      <c r="C5" s="5"/>
      <c r="D5" s="6"/>
      <c r="E5" s="6"/>
      <c r="F5" s="6"/>
      <c r="G5" s="6"/>
      <c r="H5" s="6"/>
      <c r="I5" s="6"/>
      <c r="N5" s="49"/>
    </row>
    <row r="6" spans="1:14" s="1" customFormat="1" ht="15" x14ac:dyDescent="0.25">
      <c r="A6" s="48"/>
      <c r="N6" s="49"/>
    </row>
    <row r="7" spans="1:14" s="18" customFormat="1" ht="15" customHeight="1" x14ac:dyDescent="0.25">
      <c r="A7" s="50"/>
      <c r="B7" s="2" t="s">
        <v>134</v>
      </c>
      <c r="C7" s="108" t="s">
        <v>163</v>
      </c>
      <c r="D7" s="108"/>
      <c r="E7" s="108"/>
      <c r="K7" s="73" t="s">
        <v>135</v>
      </c>
      <c r="L7" s="110">
        <f>INDEX('ABM Technology'!R7:S7,1,1)</f>
        <v>45317</v>
      </c>
      <c r="M7" s="110"/>
      <c r="N7" s="51"/>
    </row>
    <row r="8" spans="1:14" s="1" customFormat="1" ht="5.0999999999999996" customHeight="1" x14ac:dyDescent="0.25">
      <c r="A8" s="48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9"/>
    </row>
    <row r="9" spans="1:14" s="1" customFormat="1" ht="5.0999999999999996" customHeight="1" x14ac:dyDescent="0.25">
      <c r="A9" s="48"/>
      <c r="N9" s="49"/>
    </row>
    <row r="10" spans="1:14" s="18" customFormat="1" ht="15" customHeight="1" x14ac:dyDescent="0.25">
      <c r="A10" s="50"/>
      <c r="B10" s="2" t="s">
        <v>136</v>
      </c>
      <c r="H10" s="31" t="s">
        <v>137</v>
      </c>
      <c r="K10" s="108" t="str">
        <f>INDEX('ABM Technology'!P10:S10,1,1)</f>
        <v>RONALD CARDOZO</v>
      </c>
      <c r="L10" s="108"/>
      <c r="M10" s="108"/>
      <c r="N10" s="51"/>
    </row>
    <row r="11" spans="1:14" ht="9.9499999999999993" customHeight="1" x14ac:dyDescent="0.2">
      <c r="A11" s="46"/>
      <c r="N11" s="47"/>
    </row>
    <row r="12" spans="1:14" s="18" customFormat="1" ht="15" customHeight="1" x14ac:dyDescent="0.2">
      <c r="A12" s="50"/>
      <c r="B12" s="13"/>
      <c r="C12" s="31" t="s">
        <v>138</v>
      </c>
      <c r="H12" s="31" t="s">
        <v>139</v>
      </c>
      <c r="I12" s="31"/>
      <c r="K12" s="31"/>
      <c r="N12" s="51"/>
    </row>
    <row r="13" spans="1:14" x14ac:dyDescent="0.2">
      <c r="A13" s="46"/>
      <c r="I13" s="32" t="s">
        <v>140</v>
      </c>
      <c r="J13" s="32"/>
      <c r="N13" s="47"/>
    </row>
    <row r="14" spans="1:14" x14ac:dyDescent="0.2">
      <c r="A14" s="46"/>
      <c r="I14" s="32" t="s">
        <v>141</v>
      </c>
      <c r="J14" s="32"/>
      <c r="N14" s="47"/>
    </row>
    <row r="15" spans="1:14" x14ac:dyDescent="0.2">
      <c r="A15" s="46"/>
      <c r="I15" s="32" t="s">
        <v>142</v>
      </c>
      <c r="J15" s="32"/>
      <c r="N15" s="47"/>
    </row>
    <row r="16" spans="1:14" ht="5.0999999999999996" customHeight="1" x14ac:dyDescent="0.2">
      <c r="A16" s="46"/>
      <c r="N16" s="47"/>
    </row>
    <row r="17" spans="1:14" s="11" customFormat="1" ht="3" customHeight="1" x14ac:dyDescent="0.2">
      <c r="A17" s="5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53"/>
    </row>
    <row r="18" spans="1:14" s="11" customFormat="1" ht="5.0999999999999996" customHeight="1" x14ac:dyDescent="0.2">
      <c r="A18" s="52"/>
      <c r="N18" s="53"/>
    </row>
    <row r="19" spans="1:14" ht="15" customHeight="1" x14ac:dyDescent="0.2">
      <c r="A19" s="46"/>
      <c r="B19" s="2" t="s">
        <v>143</v>
      </c>
      <c r="N19" s="47"/>
    </row>
    <row r="20" spans="1:14" ht="9.9499999999999993" customHeight="1" x14ac:dyDescent="0.2">
      <c r="A20" s="46"/>
      <c r="N20" s="47"/>
    </row>
    <row r="21" spans="1:14" s="18" customFormat="1" ht="15" customHeight="1" x14ac:dyDescent="0.25">
      <c r="A21" s="50"/>
      <c r="B21" s="31" t="s">
        <v>144</v>
      </c>
      <c r="C21" s="108" t="str">
        <f>INDEX('ABM Technology'!D21:I21,1,1)</f>
        <v>LAFAGE</v>
      </c>
      <c r="D21" s="108"/>
      <c r="E21" s="108"/>
      <c r="F21" s="108"/>
      <c r="G21" s="31"/>
      <c r="H21" s="31"/>
      <c r="I21" s="31" t="s">
        <v>145</v>
      </c>
      <c r="K21" s="108" t="str">
        <f>INDEX('ABM Technology'!O21:S21,1,1)</f>
        <v>Otros Servicios Tecnología</v>
      </c>
      <c r="L21" s="108"/>
      <c r="M21" s="108"/>
      <c r="N21" s="51"/>
    </row>
    <row r="22" spans="1:14" ht="9.9499999999999993" customHeight="1" x14ac:dyDescent="0.2">
      <c r="A22" s="46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47"/>
    </row>
    <row r="23" spans="1:14" s="18" customFormat="1" ht="15" customHeight="1" thickBot="1" x14ac:dyDescent="0.3">
      <c r="A23" s="50"/>
      <c r="B23" s="3" t="s">
        <v>146</v>
      </c>
      <c r="D23" s="122">
        <f>INDEX('ABM Technology'!G23:I23,1,1)</f>
        <v>45001</v>
      </c>
      <c r="E23" s="122"/>
      <c r="F23" s="122"/>
      <c r="I23" s="31" t="s">
        <v>147</v>
      </c>
      <c r="K23" s="123" t="s">
        <v>33</v>
      </c>
      <c r="L23" s="123"/>
      <c r="M23" s="123"/>
      <c r="N23" s="51"/>
    </row>
    <row r="24" spans="1:14" s="18" customFormat="1" ht="15" customHeight="1" x14ac:dyDescent="0.25">
      <c r="A24" s="50"/>
      <c r="B24" s="3"/>
      <c r="D24" s="74"/>
      <c r="E24" s="74"/>
      <c r="F24" s="74"/>
      <c r="I24" s="31"/>
      <c r="K24" s="124" t="s">
        <v>34</v>
      </c>
      <c r="L24" s="124"/>
      <c r="M24" s="124"/>
      <c r="N24" s="51"/>
    </row>
    <row r="25" spans="1:14" ht="11.25" customHeight="1" x14ac:dyDescent="0.2">
      <c r="A25" s="46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47"/>
    </row>
    <row r="26" spans="1:14" ht="15" customHeight="1" x14ac:dyDescent="0.2">
      <c r="A26" s="46"/>
      <c r="B26" s="31" t="s">
        <v>148</v>
      </c>
      <c r="C26" s="108" t="str">
        <f>INDEX('ABM Technology'!D26:G26,1,1)</f>
        <v>36 meses</v>
      </c>
      <c r="D26" s="108"/>
      <c r="E26" s="108"/>
      <c r="F26" s="75"/>
      <c r="G26" s="75" t="s">
        <v>149</v>
      </c>
      <c r="H26" s="76" t="s">
        <v>38</v>
      </c>
      <c r="I26" s="125">
        <f>INDEX('ABM Technology'!N26:P26,1,1)</f>
        <v>45292</v>
      </c>
      <c r="J26" s="125"/>
      <c r="K26" s="76" t="s">
        <v>39</v>
      </c>
      <c r="L26" s="125">
        <v>46113</v>
      </c>
      <c r="M26" s="125"/>
      <c r="N26" s="47"/>
    </row>
    <row r="27" spans="1:14" ht="5.0999999999999996" customHeight="1" x14ac:dyDescent="0.2">
      <c r="A27" s="46"/>
      <c r="N27" s="47"/>
    </row>
    <row r="28" spans="1:14" s="11" customFormat="1" ht="3" customHeight="1" x14ac:dyDescent="0.2">
      <c r="A28" s="5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53"/>
    </row>
    <row r="29" spans="1:14" s="11" customFormat="1" ht="5.0999999999999996" customHeight="1" x14ac:dyDescent="0.2">
      <c r="A29" s="52"/>
      <c r="N29" s="53"/>
    </row>
    <row r="30" spans="1:14" ht="12.75" x14ac:dyDescent="0.2">
      <c r="A30" s="46"/>
      <c r="B30" s="2" t="s">
        <v>150</v>
      </c>
      <c r="N30" s="47"/>
    </row>
    <row r="31" spans="1:14" ht="9.9499999999999993" customHeight="1" x14ac:dyDescent="0.2">
      <c r="A31" s="46"/>
      <c r="N31" s="47"/>
    </row>
    <row r="32" spans="1:14" ht="15" customHeight="1" x14ac:dyDescent="0.2">
      <c r="A32" s="46"/>
      <c r="B32" s="31" t="s">
        <v>151</v>
      </c>
      <c r="C32" s="108" t="str">
        <f>INDEX('ABM Technology'!D32:G32,1,1)</f>
        <v>Dólar</v>
      </c>
      <c r="D32" s="108"/>
      <c r="N32" s="47"/>
    </row>
    <row r="33" spans="1:14" x14ac:dyDescent="0.2">
      <c r="A33" s="46"/>
      <c r="N33" s="47"/>
    </row>
    <row r="34" spans="1:14" ht="14.25" customHeight="1" x14ac:dyDescent="0.2">
      <c r="A34" s="46"/>
      <c r="E34" s="115" t="s">
        <v>81</v>
      </c>
      <c r="F34" s="117"/>
      <c r="H34" s="115" t="s">
        <v>76</v>
      </c>
      <c r="I34" s="117"/>
      <c r="K34" s="115" t="s">
        <v>0</v>
      </c>
      <c r="L34" s="116"/>
      <c r="M34" s="117"/>
      <c r="N34" s="47"/>
    </row>
    <row r="35" spans="1:14" ht="24" x14ac:dyDescent="0.2">
      <c r="A35" s="46"/>
      <c r="E35" s="20" t="s">
        <v>78</v>
      </c>
      <c r="F35" s="21" t="s">
        <v>152</v>
      </c>
      <c r="H35" s="20" t="s">
        <v>78</v>
      </c>
      <c r="I35" s="21" t="s">
        <v>152</v>
      </c>
      <c r="K35" s="20" t="s">
        <v>78</v>
      </c>
      <c r="L35" s="21" t="s">
        <v>152</v>
      </c>
      <c r="M35" s="27" t="s">
        <v>1</v>
      </c>
      <c r="N35" s="47"/>
    </row>
    <row r="36" spans="1:14" ht="5.0999999999999996" customHeight="1" x14ac:dyDescent="0.2">
      <c r="A36" s="46"/>
      <c r="N36" s="47"/>
    </row>
    <row r="37" spans="1:14" ht="13.5" customHeight="1" x14ac:dyDescent="0.2">
      <c r="A37" s="46"/>
      <c r="B37" s="14" t="s">
        <v>110</v>
      </c>
      <c r="E37" s="126">
        <f>INDEX('ABM Technology'!E37:H37,1,1)</f>
        <v>0</v>
      </c>
      <c r="F37" s="126"/>
      <c r="H37" s="126">
        <f>INDEX('ABM Technology'!J37:M37,1,1)</f>
        <v>0</v>
      </c>
      <c r="I37" s="126"/>
      <c r="N37" s="47"/>
    </row>
    <row r="38" spans="1:14" x14ac:dyDescent="0.2">
      <c r="A38" s="46"/>
      <c r="N38" s="47"/>
    </row>
    <row r="39" spans="1:14" x14ac:dyDescent="0.2">
      <c r="A39" s="46"/>
      <c r="B39" s="68" t="s">
        <v>125</v>
      </c>
      <c r="N39" s="47"/>
    </row>
    <row r="40" spans="1:14" ht="5.0999999999999996" customHeight="1" x14ac:dyDescent="0.2">
      <c r="A40" s="46"/>
      <c r="N40" s="47"/>
    </row>
    <row r="41" spans="1:14" s="18" customFormat="1" ht="15" customHeight="1" x14ac:dyDescent="0.25">
      <c r="A41" s="50"/>
      <c r="B41" s="90" t="s">
        <v>119</v>
      </c>
      <c r="C41" s="90"/>
      <c r="E41" s="91">
        <f>'ABM Technology'!G41</f>
        <v>450</v>
      </c>
      <c r="F41" s="92">
        <f>'ABM Technology'!H41</f>
        <v>450</v>
      </c>
      <c r="G41" s="93"/>
      <c r="H41" s="91">
        <f>'ABM Technology'!L41</f>
        <v>500</v>
      </c>
      <c r="I41" s="92">
        <f>'ABM Technology'!M41</f>
        <v>500</v>
      </c>
      <c r="J41" s="93"/>
      <c r="K41" s="91">
        <f>'ABM Technology'!Q41</f>
        <v>50</v>
      </c>
      <c r="L41" s="92">
        <f>'ABM Technology'!R41</f>
        <v>50</v>
      </c>
      <c r="M41" s="104">
        <f>IFERROR(L41/F41,"-")</f>
        <v>0.1111111111111111</v>
      </c>
      <c r="N41" s="51"/>
    </row>
    <row r="42" spans="1:14" ht="4.5" customHeight="1" x14ac:dyDescent="0.2">
      <c r="A42" s="46"/>
      <c r="E42" s="77"/>
      <c r="F42" s="78"/>
      <c r="G42" s="78"/>
      <c r="H42" s="77"/>
      <c r="I42" s="78"/>
      <c r="J42" s="78"/>
      <c r="K42" s="77"/>
      <c r="L42" s="78"/>
      <c r="M42" s="105"/>
      <c r="N42" s="47"/>
    </row>
    <row r="43" spans="1:14" s="18" customFormat="1" ht="15" customHeight="1" x14ac:dyDescent="0.25">
      <c r="A43" s="50"/>
      <c r="B43" s="90" t="s">
        <v>122</v>
      </c>
      <c r="C43" s="90"/>
      <c r="E43" s="91">
        <f>'ABM Technology'!G43</f>
        <v>0</v>
      </c>
      <c r="F43" s="92">
        <f>'ABM Technology'!H43</f>
        <v>0</v>
      </c>
      <c r="G43" s="93"/>
      <c r="H43" s="91">
        <f>'ABM Technology'!L43</f>
        <v>0</v>
      </c>
      <c r="I43" s="92">
        <f>'ABM Technology'!M43</f>
        <v>0</v>
      </c>
      <c r="J43" s="93"/>
      <c r="K43" s="91">
        <f>'ABM Technology'!Q43</f>
        <v>0</v>
      </c>
      <c r="L43" s="92">
        <f>'ABM Technology'!R43</f>
        <v>0</v>
      </c>
      <c r="M43" s="104" t="str">
        <f>IFERROR(L43/F43,"-")</f>
        <v>-</v>
      </c>
      <c r="N43" s="51"/>
    </row>
    <row r="44" spans="1:14" ht="4.5" customHeight="1" x14ac:dyDescent="0.2">
      <c r="A44" s="46"/>
      <c r="E44" s="77"/>
      <c r="F44" s="78"/>
      <c r="G44" s="78"/>
      <c r="H44" s="77"/>
      <c r="I44" s="78"/>
      <c r="J44" s="78"/>
      <c r="K44" s="77"/>
      <c r="L44" s="78"/>
      <c r="M44" s="105"/>
      <c r="N44" s="47"/>
    </row>
    <row r="45" spans="1:14" s="18" customFormat="1" ht="15" customHeight="1" x14ac:dyDescent="0.25">
      <c r="A45" s="50"/>
      <c r="B45" s="90" t="s">
        <v>121</v>
      </c>
      <c r="C45" s="90"/>
      <c r="E45" s="91">
        <f>'ABM Technology'!G45</f>
        <v>0</v>
      </c>
      <c r="F45" s="92">
        <f>'ABM Technology'!H45</f>
        <v>0</v>
      </c>
      <c r="G45" s="93"/>
      <c r="H45" s="91">
        <f>'ABM Technology'!L45</f>
        <v>0</v>
      </c>
      <c r="I45" s="92">
        <f>'ABM Technology'!M45</f>
        <v>0</v>
      </c>
      <c r="J45" s="93"/>
      <c r="K45" s="91">
        <f>'ABM Technology'!Q45</f>
        <v>0</v>
      </c>
      <c r="L45" s="92">
        <f>'ABM Technology'!R45</f>
        <v>0</v>
      </c>
      <c r="M45" s="104" t="str">
        <f>IFERROR(L45/F45,"-")</f>
        <v>-</v>
      </c>
      <c r="N45" s="51"/>
    </row>
    <row r="46" spans="1:14" ht="4.5" customHeight="1" x14ac:dyDescent="0.2">
      <c r="A46" s="46"/>
      <c r="E46" s="77"/>
      <c r="F46" s="78"/>
      <c r="G46" s="78"/>
      <c r="H46" s="77"/>
      <c r="I46" s="78"/>
      <c r="J46" s="78"/>
      <c r="K46" s="77"/>
      <c r="L46" s="78"/>
      <c r="M46" s="105"/>
      <c r="N46" s="47"/>
    </row>
    <row r="47" spans="1:14" s="18" customFormat="1" ht="15" customHeight="1" x14ac:dyDescent="0.25">
      <c r="A47" s="50"/>
      <c r="B47" s="90" t="s">
        <v>133</v>
      </c>
      <c r="C47" s="90"/>
      <c r="E47" s="91">
        <f>'ABM Technology'!G47</f>
        <v>0</v>
      </c>
      <c r="F47" s="92">
        <f>'ABM Technology'!H47</f>
        <v>0</v>
      </c>
      <c r="G47" s="93"/>
      <c r="H47" s="91">
        <f>'ABM Technology'!L47</f>
        <v>0</v>
      </c>
      <c r="I47" s="92">
        <f>'ABM Technology'!M47</f>
        <v>0</v>
      </c>
      <c r="J47" s="93"/>
      <c r="K47" s="91">
        <f>'ABM Technology'!Q47</f>
        <v>0</v>
      </c>
      <c r="L47" s="92">
        <f>'ABM Technology'!R47</f>
        <v>0</v>
      </c>
      <c r="M47" s="104" t="str">
        <f>IFERROR(L47/F47,"-")</f>
        <v>-</v>
      </c>
      <c r="N47" s="51"/>
    </row>
    <row r="48" spans="1:14" ht="4.5" customHeight="1" x14ac:dyDescent="0.2">
      <c r="A48" s="46"/>
      <c r="E48" s="77"/>
      <c r="F48" s="78"/>
      <c r="G48" s="78"/>
      <c r="H48" s="77"/>
      <c r="I48" s="78"/>
      <c r="J48" s="78"/>
      <c r="K48" s="77"/>
      <c r="L48" s="78"/>
      <c r="M48" s="105"/>
      <c r="N48" s="47"/>
    </row>
    <row r="49" spans="1:15" s="18" customFormat="1" ht="15" customHeight="1" x14ac:dyDescent="0.25">
      <c r="A49" s="50"/>
      <c r="B49" s="90" t="s">
        <v>124</v>
      </c>
      <c r="C49" s="90"/>
      <c r="E49" s="91">
        <f>'ABM Technology'!G49</f>
        <v>0</v>
      </c>
      <c r="F49" s="92">
        <f>'ABM Technology'!H49</f>
        <v>0</v>
      </c>
      <c r="G49" s="93"/>
      <c r="H49" s="91">
        <f>'ABM Technology'!L49</f>
        <v>0</v>
      </c>
      <c r="I49" s="92">
        <f>'ABM Technology'!M49</f>
        <v>0</v>
      </c>
      <c r="J49" s="93"/>
      <c r="K49" s="91">
        <f>'ABM Technology'!Q49</f>
        <v>0</v>
      </c>
      <c r="L49" s="92">
        <f>'ABM Technology'!R49</f>
        <v>0</v>
      </c>
      <c r="M49" s="104" t="str">
        <f>IFERROR(L49/F49,"-")</f>
        <v>-</v>
      </c>
      <c r="N49" s="51"/>
    </row>
    <row r="50" spans="1:15" x14ac:dyDescent="0.2">
      <c r="A50" s="46"/>
      <c r="E50" s="77"/>
      <c r="F50" s="78"/>
      <c r="G50" s="78"/>
      <c r="H50" s="77"/>
      <c r="I50" s="78"/>
      <c r="J50" s="78"/>
      <c r="K50" s="77"/>
      <c r="L50" s="78"/>
      <c r="M50" s="105"/>
      <c r="N50" s="47"/>
    </row>
    <row r="51" spans="1:15" s="14" customFormat="1" x14ac:dyDescent="0.2">
      <c r="A51" s="65" t="s">
        <v>128</v>
      </c>
      <c r="B51" s="60" t="s">
        <v>97</v>
      </c>
      <c r="C51" s="60"/>
      <c r="E51" s="79">
        <f>E41+E43+E45+E47+E49</f>
        <v>450</v>
      </c>
      <c r="F51" s="62">
        <f>F41+F43+F45+F47+F49</f>
        <v>450</v>
      </c>
      <c r="G51" s="34"/>
      <c r="H51" s="79">
        <f>H41+H43+H45+H47+H49</f>
        <v>500</v>
      </c>
      <c r="I51" s="62">
        <f>I41+I43+I45+I47+I49</f>
        <v>500</v>
      </c>
      <c r="J51" s="34"/>
      <c r="K51" s="79">
        <f>K41+K43+K45+K47+K49</f>
        <v>50</v>
      </c>
      <c r="L51" s="62">
        <f>L41+L43+L45+L47+L49</f>
        <v>50</v>
      </c>
      <c r="M51" s="97">
        <f>IFERROR(L51/F51,"-")</f>
        <v>0.1111111111111111</v>
      </c>
      <c r="N51" s="55"/>
    </row>
    <row r="52" spans="1:15" ht="2.25" customHeight="1" x14ac:dyDescent="0.2">
      <c r="A52" s="66"/>
      <c r="E52" s="80"/>
      <c r="H52" s="80"/>
      <c r="K52" s="80"/>
      <c r="M52" s="41"/>
      <c r="N52" s="55"/>
      <c r="O52" s="14"/>
    </row>
    <row r="53" spans="1:15" s="14" customFormat="1" x14ac:dyDescent="0.2">
      <c r="A53" s="65" t="s">
        <v>128</v>
      </c>
      <c r="B53" s="57" t="s">
        <v>98</v>
      </c>
      <c r="C53" s="57"/>
      <c r="E53" s="81">
        <f>E51*12</f>
        <v>5400</v>
      </c>
      <c r="F53" s="59">
        <f>F51*12</f>
        <v>5400</v>
      </c>
      <c r="G53" s="34"/>
      <c r="H53" s="81">
        <f>H51*10</f>
        <v>5000</v>
      </c>
      <c r="I53" s="59">
        <f>I51*10</f>
        <v>5000</v>
      </c>
      <c r="J53" s="34"/>
      <c r="K53" s="81">
        <f>K51*10</f>
        <v>500</v>
      </c>
      <c r="L53" s="59">
        <f>L51*10</f>
        <v>500</v>
      </c>
      <c r="M53" s="98">
        <f>IFERROR(L53/F53,"-")</f>
        <v>9.2592592592592587E-2</v>
      </c>
      <c r="N53" s="55"/>
    </row>
    <row r="54" spans="1:15" s="29" customFormat="1" x14ac:dyDescent="0.2">
      <c r="A54" s="82"/>
      <c r="B54" s="35" t="s">
        <v>99</v>
      </c>
      <c r="E54" s="36"/>
      <c r="F54" s="37">
        <f>IFERROR(F51/E51-1,0)</f>
        <v>0</v>
      </c>
      <c r="G54" s="36"/>
      <c r="H54" s="36"/>
      <c r="I54" s="37">
        <f>IFERROR(I51/H51-1,0)</f>
        <v>0</v>
      </c>
      <c r="J54" s="36"/>
      <c r="K54" s="83"/>
      <c r="L54" s="37"/>
      <c r="M54" s="99"/>
      <c r="N54" s="56"/>
    </row>
    <row r="55" spans="1:15" x14ac:dyDescent="0.2">
      <c r="A55" s="46"/>
      <c r="N55" s="55"/>
      <c r="O55" s="14"/>
    </row>
    <row r="56" spans="1:15" x14ac:dyDescent="0.2">
      <c r="A56" s="46"/>
      <c r="B56" s="68" t="s">
        <v>126</v>
      </c>
      <c r="N56" s="55"/>
      <c r="O56" s="14"/>
    </row>
    <row r="57" spans="1:15" ht="5.0999999999999996" customHeight="1" x14ac:dyDescent="0.2">
      <c r="A57" s="46"/>
      <c r="N57" s="47"/>
    </row>
    <row r="58" spans="1:15" ht="5.0999999999999996" customHeight="1" x14ac:dyDescent="0.2">
      <c r="A58" s="46"/>
      <c r="N58" s="47"/>
    </row>
    <row r="59" spans="1:15" s="18" customFormat="1" ht="15" customHeight="1" x14ac:dyDescent="0.25">
      <c r="A59" s="50"/>
      <c r="B59" s="90" t="s">
        <v>109</v>
      </c>
      <c r="C59" s="90"/>
      <c r="E59" s="91">
        <f>'ABM Technology'!G58</f>
        <v>0</v>
      </c>
      <c r="F59" s="92">
        <f>'ABM Technology'!H58</f>
        <v>0</v>
      </c>
      <c r="G59" s="93"/>
      <c r="H59" s="91">
        <f>'ABM Technology'!L58</f>
        <v>0</v>
      </c>
      <c r="I59" s="92">
        <f>'ABM Technology'!M58</f>
        <v>0</v>
      </c>
      <c r="J59" s="93"/>
      <c r="K59" s="91">
        <f>'ABM Technology'!Q58</f>
        <v>0</v>
      </c>
      <c r="L59" s="92">
        <f>'ABM Technology'!R58</f>
        <v>0</v>
      </c>
      <c r="M59" s="104" t="str">
        <f>IFERROR(L59/F59,"-")</f>
        <v>-</v>
      </c>
      <c r="N59" s="51"/>
    </row>
    <row r="60" spans="1:15" ht="4.5" customHeight="1" x14ac:dyDescent="0.2">
      <c r="A60" s="46"/>
      <c r="B60" s="18"/>
      <c r="C60" s="18"/>
      <c r="D60" s="18"/>
      <c r="E60" s="94"/>
      <c r="F60" s="95"/>
      <c r="G60" s="95"/>
      <c r="H60" s="94"/>
      <c r="I60" s="95"/>
      <c r="J60" s="95"/>
      <c r="K60" s="94"/>
      <c r="L60" s="95"/>
      <c r="M60" s="106"/>
      <c r="N60" s="47"/>
    </row>
    <row r="61" spans="1:15" s="18" customFormat="1" ht="15" customHeight="1" x14ac:dyDescent="0.25">
      <c r="A61" s="50"/>
      <c r="B61" s="90" t="s">
        <v>120</v>
      </c>
      <c r="C61" s="90"/>
      <c r="E61" s="91">
        <f>'ABM Technology'!G60</f>
        <v>0</v>
      </c>
      <c r="F61" s="92">
        <f>'ABM Technology'!H60</f>
        <v>0</v>
      </c>
      <c r="G61" s="93"/>
      <c r="H61" s="91">
        <f>'ABM Technology'!L60</f>
        <v>0</v>
      </c>
      <c r="I61" s="92">
        <f>'ABM Technology'!M60</f>
        <v>0</v>
      </c>
      <c r="J61" s="93"/>
      <c r="K61" s="91">
        <f>'ABM Technology'!Q60</f>
        <v>0</v>
      </c>
      <c r="L61" s="92">
        <f>'ABM Technology'!R60</f>
        <v>0</v>
      </c>
      <c r="M61" s="104" t="str">
        <f>IFERROR(L61/F61,"-")</f>
        <v>-</v>
      </c>
      <c r="N61" s="51"/>
    </row>
    <row r="62" spans="1:15" ht="4.5" customHeight="1" x14ac:dyDescent="0.2">
      <c r="A62" s="46"/>
      <c r="B62" s="18"/>
      <c r="C62" s="18"/>
      <c r="D62" s="18"/>
      <c r="E62" s="94"/>
      <c r="F62" s="95"/>
      <c r="G62" s="95"/>
      <c r="H62" s="94"/>
      <c r="I62" s="95"/>
      <c r="J62" s="95"/>
      <c r="K62" s="94"/>
      <c r="L62" s="95"/>
      <c r="M62" s="106"/>
      <c r="N62" s="47"/>
    </row>
    <row r="63" spans="1:15" s="18" customFormat="1" ht="15" customHeight="1" x14ac:dyDescent="0.25">
      <c r="A63" s="50"/>
      <c r="B63" s="90" t="s">
        <v>123</v>
      </c>
      <c r="C63" s="90"/>
      <c r="E63" s="91">
        <f>'ABM Technology'!G62</f>
        <v>0</v>
      </c>
      <c r="F63" s="92">
        <f>'ABM Technology'!H62</f>
        <v>0</v>
      </c>
      <c r="G63" s="93"/>
      <c r="H63" s="91">
        <f>'ABM Technology'!L62</f>
        <v>0</v>
      </c>
      <c r="I63" s="92">
        <f>'ABM Technology'!M62</f>
        <v>0</v>
      </c>
      <c r="J63" s="93"/>
      <c r="K63" s="91">
        <f>'ABM Technology'!Q62</f>
        <v>0</v>
      </c>
      <c r="L63" s="92">
        <f>'ABM Technology'!R62</f>
        <v>0</v>
      </c>
      <c r="M63" s="104" t="str">
        <f>IFERROR(L63/F63,"-")</f>
        <v>-</v>
      </c>
      <c r="N63" s="51"/>
    </row>
    <row r="64" spans="1:15" ht="4.5" customHeight="1" x14ac:dyDescent="0.2">
      <c r="A64" s="46"/>
      <c r="B64" s="18"/>
      <c r="C64" s="18"/>
      <c r="D64" s="18"/>
      <c r="E64" s="94"/>
      <c r="F64" s="95"/>
      <c r="G64" s="95"/>
      <c r="H64" s="94"/>
      <c r="I64" s="95"/>
      <c r="J64" s="95"/>
      <c r="K64" s="94"/>
      <c r="L64" s="95"/>
      <c r="M64" s="106"/>
      <c r="N64" s="47"/>
    </row>
    <row r="65" spans="1:15" s="18" customFormat="1" ht="15" customHeight="1" x14ac:dyDescent="0.25">
      <c r="A65" s="50"/>
      <c r="B65" s="90" t="s">
        <v>132</v>
      </c>
      <c r="C65" s="90"/>
      <c r="E65" s="91">
        <f>'ABM Technology'!G64</f>
        <v>0</v>
      </c>
      <c r="F65" s="92">
        <f>'ABM Technology'!H64</f>
        <v>0</v>
      </c>
      <c r="G65" s="93"/>
      <c r="H65" s="91">
        <f>'ABM Technology'!L64</f>
        <v>0</v>
      </c>
      <c r="I65" s="92">
        <f>'ABM Technology'!M64</f>
        <v>0</v>
      </c>
      <c r="J65" s="93"/>
      <c r="K65" s="91">
        <f>'ABM Technology'!Q64</f>
        <v>0</v>
      </c>
      <c r="L65" s="92">
        <f>'ABM Technology'!R64</f>
        <v>0</v>
      </c>
      <c r="M65" s="104" t="str">
        <f>IFERROR(L65/F65,"-")</f>
        <v>-</v>
      </c>
      <c r="N65" s="51"/>
    </row>
    <row r="66" spans="1:15" x14ac:dyDescent="0.2">
      <c r="A66" s="46"/>
      <c r="E66" s="77"/>
      <c r="F66" s="78"/>
      <c r="G66" s="78"/>
      <c r="H66" s="77"/>
      <c r="I66" s="78"/>
      <c r="J66" s="78"/>
      <c r="K66" s="77"/>
      <c r="L66" s="78"/>
      <c r="M66" s="105"/>
      <c r="N66" s="47"/>
    </row>
    <row r="67" spans="1:15" s="14" customFormat="1" x14ac:dyDescent="0.2">
      <c r="A67" s="65" t="s">
        <v>128</v>
      </c>
      <c r="B67" s="57" t="s">
        <v>98</v>
      </c>
      <c r="C67" s="60"/>
      <c r="E67" s="79">
        <f>E59+E61+E63+E65</f>
        <v>0</v>
      </c>
      <c r="F67" s="62">
        <f>F59+F61+F63+F65</f>
        <v>0</v>
      </c>
      <c r="G67" s="34"/>
      <c r="H67" s="79">
        <f>H59+H61+H63+H65</f>
        <v>0</v>
      </c>
      <c r="I67" s="62">
        <f>I59+I61+I63+I65</f>
        <v>0</v>
      </c>
      <c r="J67" s="34"/>
      <c r="K67" s="79">
        <f>K59+K61+K63+K65</f>
        <v>0</v>
      </c>
      <c r="L67" s="62">
        <f>L59+L61+L63+L65</f>
        <v>0</v>
      </c>
      <c r="M67" s="97" t="str">
        <f>IFERROR(L67/F67,"-")</f>
        <v>-</v>
      </c>
      <c r="N67" s="55"/>
    </row>
    <row r="68" spans="1:15" ht="2.25" customHeight="1" x14ac:dyDescent="0.2">
      <c r="A68" s="66"/>
      <c r="E68" s="80"/>
      <c r="H68" s="80"/>
      <c r="K68" s="80"/>
      <c r="M68" s="41"/>
      <c r="N68" s="55"/>
      <c r="O68" s="14"/>
    </row>
    <row r="69" spans="1:15" s="29" customFormat="1" x14ac:dyDescent="0.2">
      <c r="A69" s="82"/>
      <c r="B69" s="35" t="s">
        <v>99</v>
      </c>
      <c r="E69" s="36"/>
      <c r="F69" s="37">
        <f>IFERROR(F67/E67-1,0)</f>
        <v>0</v>
      </c>
      <c r="G69" s="36"/>
      <c r="H69" s="36"/>
      <c r="I69" s="37">
        <f>IFERROR(I67/H67-1,0)</f>
        <v>0</v>
      </c>
      <c r="J69" s="36"/>
      <c r="K69" s="83"/>
      <c r="L69" s="37"/>
      <c r="M69" s="99"/>
      <c r="N69" s="56"/>
    </row>
    <row r="70" spans="1:15" x14ac:dyDescent="0.2">
      <c r="A70" s="46"/>
      <c r="M70" s="41"/>
      <c r="N70" s="55"/>
      <c r="O70" s="14"/>
    </row>
    <row r="71" spans="1:15" x14ac:dyDescent="0.2">
      <c r="A71" s="46"/>
      <c r="B71" s="57" t="s">
        <v>127</v>
      </c>
      <c r="C71" s="57"/>
      <c r="D71" s="14"/>
      <c r="E71" s="79">
        <f>E53+E67</f>
        <v>5400</v>
      </c>
      <c r="F71" s="62">
        <f>F53+F67</f>
        <v>5400</v>
      </c>
      <c r="G71" s="34"/>
      <c r="H71" s="79">
        <f t="shared" ref="H71:I71" si="0">H53+H67</f>
        <v>5000</v>
      </c>
      <c r="I71" s="62">
        <f t="shared" si="0"/>
        <v>5000</v>
      </c>
      <c r="J71" s="34"/>
      <c r="K71" s="79">
        <f t="shared" ref="K71:L71" si="1">K53+K67</f>
        <v>500</v>
      </c>
      <c r="L71" s="62">
        <f t="shared" si="1"/>
        <v>500</v>
      </c>
      <c r="M71" s="97">
        <f>IFERROR(L71/F71,"-")</f>
        <v>9.2592592592592587E-2</v>
      </c>
      <c r="N71" s="55"/>
      <c r="O71" s="14"/>
    </row>
    <row r="72" spans="1:15" x14ac:dyDescent="0.2">
      <c r="A72" s="46"/>
      <c r="N72" s="55"/>
      <c r="O72" s="14"/>
    </row>
    <row r="73" spans="1:15" x14ac:dyDescent="0.2">
      <c r="A73" s="46"/>
      <c r="N73" s="55"/>
      <c r="O73" s="14"/>
    </row>
    <row r="74" spans="1:15" ht="15" customHeight="1" x14ac:dyDescent="0.2">
      <c r="A74" s="46"/>
      <c r="B74" s="31" t="s">
        <v>130</v>
      </c>
      <c r="G74" s="108">
        <f>INDEX('ABM Technology'!H72:J72,1,1)</f>
        <v>0</v>
      </c>
      <c r="H74" s="108"/>
      <c r="N74" s="55"/>
      <c r="O74" s="14"/>
    </row>
    <row r="75" spans="1:15" ht="5.0999999999999996" customHeight="1" x14ac:dyDescent="0.2">
      <c r="A75" s="46"/>
      <c r="N75" s="47"/>
    </row>
    <row r="76" spans="1:15" s="11" customFormat="1" ht="3" customHeight="1" x14ac:dyDescent="0.2">
      <c r="A76" s="5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53"/>
    </row>
    <row r="77" spans="1:15" s="11" customFormat="1" ht="5.0999999999999996" customHeight="1" x14ac:dyDescent="0.2">
      <c r="A77" s="52"/>
      <c r="N77" s="53"/>
    </row>
    <row r="78" spans="1:15" ht="12.75" x14ac:dyDescent="0.2">
      <c r="A78" s="46"/>
      <c r="B78" s="30" t="s">
        <v>153</v>
      </c>
      <c r="N78" s="47"/>
    </row>
    <row r="79" spans="1:15" ht="9.9499999999999993" customHeight="1" x14ac:dyDescent="0.2">
      <c r="A79" s="46"/>
      <c r="N79" s="47"/>
    </row>
    <row r="80" spans="1:15" ht="15" customHeight="1" x14ac:dyDescent="0.2">
      <c r="A80" s="46"/>
      <c r="B80" s="84" t="str">
        <f>'ABM Technology'!B79</f>
        <v xml:space="preserve">SEGUNDO AÑO - SFNET </v>
      </c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47"/>
    </row>
    <row r="81" spans="1:14" ht="15" customHeight="1" x14ac:dyDescent="0.2">
      <c r="A81" s="46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47"/>
    </row>
    <row r="82" spans="1:14" ht="15" customHeight="1" x14ac:dyDescent="0.2">
      <c r="A82" s="46"/>
      <c r="B82" s="84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47"/>
    </row>
    <row r="83" spans="1:14" ht="15" customHeight="1" x14ac:dyDescent="0.2">
      <c r="A83" s="46"/>
      <c r="B83" s="84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47"/>
    </row>
    <row r="84" spans="1:14" ht="15" customHeight="1" x14ac:dyDescent="0.2">
      <c r="A84" s="46"/>
      <c r="B84" s="84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47"/>
    </row>
    <row r="85" spans="1:14" ht="5.0999999999999996" customHeight="1" x14ac:dyDescent="0.2">
      <c r="A85" s="46"/>
      <c r="N85" s="47"/>
    </row>
    <row r="86" spans="1:14" s="11" customFormat="1" ht="3" customHeight="1" x14ac:dyDescent="0.2">
      <c r="A86" s="5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53"/>
    </row>
    <row r="87" spans="1:14" s="11" customFormat="1" ht="5.0999999999999996" customHeight="1" x14ac:dyDescent="0.2">
      <c r="A87" s="52"/>
      <c r="N87" s="53"/>
    </row>
    <row r="88" spans="1:14" ht="15" customHeight="1" x14ac:dyDescent="0.2">
      <c r="A88" s="46"/>
      <c r="B88" s="30" t="s">
        <v>154</v>
      </c>
      <c r="N88" s="47"/>
    </row>
    <row r="89" spans="1:14" ht="9.9499999999999993" customHeight="1" x14ac:dyDescent="0.2">
      <c r="A89" s="46"/>
      <c r="N89" s="47"/>
    </row>
    <row r="90" spans="1:14" s="18" customFormat="1" ht="15" customHeight="1" x14ac:dyDescent="0.25">
      <c r="A90" s="50"/>
      <c r="B90" s="31" t="s">
        <v>2</v>
      </c>
      <c r="F90" s="18" t="s">
        <v>155</v>
      </c>
      <c r="G90" s="39"/>
      <c r="H90" s="85" t="s">
        <v>156</v>
      </c>
      <c r="N90" s="51"/>
    </row>
    <row r="91" spans="1:14" ht="9.9499999999999993" customHeight="1" x14ac:dyDescent="0.2">
      <c r="A91" s="46"/>
      <c r="G91" s="40"/>
      <c r="H91" s="40"/>
      <c r="N91" s="47"/>
    </row>
    <row r="92" spans="1:14" s="18" customFormat="1" ht="15" customHeight="1" x14ac:dyDescent="0.25">
      <c r="A92" s="50"/>
      <c r="B92" s="31" t="s">
        <v>5</v>
      </c>
      <c r="F92" s="18" t="s">
        <v>155</v>
      </c>
      <c r="G92" s="39"/>
      <c r="H92" s="18" t="s">
        <v>156</v>
      </c>
      <c r="N92" s="51"/>
    </row>
    <row r="93" spans="1:14" ht="9.9499999999999993" customHeight="1" x14ac:dyDescent="0.2">
      <c r="A93" s="46"/>
      <c r="G93" s="40"/>
      <c r="H93" s="40"/>
      <c r="N93" s="47"/>
    </row>
    <row r="94" spans="1:14" s="18" customFormat="1" ht="15" customHeight="1" x14ac:dyDescent="0.25">
      <c r="A94" s="50"/>
      <c r="B94" s="31" t="s">
        <v>6</v>
      </c>
      <c r="F94" s="18" t="s">
        <v>155</v>
      </c>
      <c r="G94" s="39"/>
      <c r="H94" s="85" t="s">
        <v>156</v>
      </c>
      <c r="I94" s="86" t="s">
        <v>95</v>
      </c>
      <c r="J94" s="121">
        <v>6.96</v>
      </c>
      <c r="K94" s="121"/>
      <c r="N94" s="51"/>
    </row>
    <row r="95" spans="1:14" ht="9.9499999999999993" customHeight="1" x14ac:dyDescent="0.2">
      <c r="A95" s="46"/>
      <c r="G95" s="40"/>
      <c r="H95" s="40"/>
      <c r="N95" s="47"/>
    </row>
    <row r="96" spans="1:14" s="18" customFormat="1" ht="15" customHeight="1" x14ac:dyDescent="0.25">
      <c r="A96" s="50"/>
      <c r="B96" s="31" t="s">
        <v>157</v>
      </c>
      <c r="F96" s="18" t="s">
        <v>155</v>
      </c>
      <c r="G96" s="39"/>
      <c r="H96" s="85" t="s">
        <v>156</v>
      </c>
      <c r="I96" s="86" t="s">
        <v>158</v>
      </c>
      <c r="J96" s="121"/>
      <c r="K96" s="121"/>
      <c r="N96" s="51"/>
    </row>
    <row r="97" spans="1:14" ht="5.0999999999999996" customHeight="1" x14ac:dyDescent="0.2">
      <c r="A97" s="46"/>
      <c r="N97" s="47"/>
    </row>
    <row r="98" spans="1:14" s="11" customFormat="1" ht="3" customHeight="1" x14ac:dyDescent="0.2">
      <c r="A98" s="5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53"/>
    </row>
    <row r="99" spans="1:14" x14ac:dyDescent="0.2">
      <c r="A99" s="87"/>
      <c r="B99" s="88"/>
      <c r="C99" s="88"/>
      <c r="D99" s="88"/>
      <c r="E99" s="88"/>
      <c r="F99" s="88"/>
      <c r="G99" s="88"/>
      <c r="H99" s="88"/>
      <c r="I99" s="88"/>
      <c r="J99" s="88"/>
      <c r="K99" s="88"/>
      <c r="L99" s="88"/>
      <c r="M99" s="88"/>
      <c r="N99" s="89"/>
    </row>
  </sheetData>
  <mergeCells count="20">
    <mergeCell ref="J94:K94"/>
    <mergeCell ref="J96:K96"/>
    <mergeCell ref="E37:F37"/>
    <mergeCell ref="H37:I37"/>
    <mergeCell ref="G74:H74"/>
    <mergeCell ref="C26:E26"/>
    <mergeCell ref="I26:J26"/>
    <mergeCell ref="L26:M26"/>
    <mergeCell ref="C32:D32"/>
    <mergeCell ref="E34:F34"/>
    <mergeCell ref="H34:I34"/>
    <mergeCell ref="K34:M34"/>
    <mergeCell ref="D23:F23"/>
    <mergeCell ref="K23:M23"/>
    <mergeCell ref="K24:M24"/>
    <mergeCell ref="C7:E7"/>
    <mergeCell ref="L7:M7"/>
    <mergeCell ref="K10:M10"/>
    <mergeCell ref="C21:F21"/>
    <mergeCell ref="K21:M21"/>
  </mergeCells>
  <pageMargins left="0.32" right="0.23" top="0.5" bottom="0.4" header="0.3" footer="0.3"/>
  <pageSetup paperSize="5" scale="95" orientation="portrait" r:id="rId1"/>
  <colBreaks count="1" manualBreakCount="1">
    <brk id="14" max="1048575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4" name="Check Box 1">
              <controlPr defaultSize="0" autoFill="0" autoLine="0" autoPict="0">
                <anchor moveWithCells="1">
                  <from>
                    <xdr:col>5</xdr:col>
                    <xdr:colOff>0</xdr:colOff>
                    <xdr:row>88</xdr:row>
                    <xdr:rowOff>114300</xdr:rowOff>
                  </from>
                  <to>
                    <xdr:col>5</xdr:col>
                    <xdr:colOff>304800</xdr:colOff>
                    <xdr:row>90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4" r:id="rId5" name="Check Box 2">
              <controlPr defaultSize="0" autoFill="0" autoLine="0" autoPict="0">
                <anchor moveWithCells="1">
                  <from>
                    <xdr:col>5</xdr:col>
                    <xdr:colOff>0</xdr:colOff>
                    <xdr:row>90</xdr:row>
                    <xdr:rowOff>114300</xdr:rowOff>
                  </from>
                  <to>
                    <xdr:col>5</xdr:col>
                    <xdr:colOff>304800</xdr:colOff>
                    <xdr:row>92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5" r:id="rId6" name="Check Box 3">
              <controlPr defaultSize="0" autoFill="0" autoLine="0" autoPict="0">
                <anchor moveWithCells="1">
                  <from>
                    <xdr:col>5</xdr:col>
                    <xdr:colOff>0</xdr:colOff>
                    <xdr:row>92</xdr:row>
                    <xdr:rowOff>114300</xdr:rowOff>
                  </from>
                  <to>
                    <xdr:col>5</xdr:col>
                    <xdr:colOff>304800</xdr:colOff>
                    <xdr:row>94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6" r:id="rId7" name="Check Box 4">
              <controlPr defaultSize="0" autoFill="0" autoLine="0" autoPict="0">
                <anchor moveWithCells="1">
                  <from>
                    <xdr:col>7</xdr:col>
                    <xdr:colOff>200025</xdr:colOff>
                    <xdr:row>88</xdr:row>
                    <xdr:rowOff>114300</xdr:rowOff>
                  </from>
                  <to>
                    <xdr:col>7</xdr:col>
                    <xdr:colOff>504825</xdr:colOff>
                    <xdr:row>90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7" r:id="rId8" name="Check Box 5">
              <controlPr defaultSize="0" autoFill="0" autoLine="0" autoPict="0">
                <anchor moveWithCells="1">
                  <from>
                    <xdr:col>7</xdr:col>
                    <xdr:colOff>200025</xdr:colOff>
                    <xdr:row>90</xdr:row>
                    <xdr:rowOff>114300</xdr:rowOff>
                  </from>
                  <to>
                    <xdr:col>7</xdr:col>
                    <xdr:colOff>504825</xdr:colOff>
                    <xdr:row>92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8" r:id="rId9" name="Check Box 6">
              <controlPr defaultSize="0" autoFill="0" autoLine="0" autoPict="0">
                <anchor moveWithCells="1">
                  <from>
                    <xdr:col>7</xdr:col>
                    <xdr:colOff>200025</xdr:colOff>
                    <xdr:row>92</xdr:row>
                    <xdr:rowOff>114300</xdr:rowOff>
                  </from>
                  <to>
                    <xdr:col>7</xdr:col>
                    <xdr:colOff>504825</xdr:colOff>
                    <xdr:row>94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9" r:id="rId10" name="Check Box 7">
              <controlPr defaultSize="0" autoFill="0" autoLine="0" autoPict="0">
                <anchor moveWithCells="1">
                  <from>
                    <xdr:col>6</xdr:col>
                    <xdr:colOff>19050</xdr:colOff>
                    <xdr:row>10</xdr:row>
                    <xdr:rowOff>66675</xdr:rowOff>
                  </from>
                  <to>
                    <xdr:col>7</xdr:col>
                    <xdr:colOff>190500</xdr:colOff>
                    <xdr:row>12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0" r:id="rId11" name="Check Box 8">
              <controlPr defaultSize="0" autoFill="0" autoLine="0" autoPict="0">
                <anchor moveWithCells="1">
                  <from>
                    <xdr:col>1</xdr:col>
                    <xdr:colOff>333375</xdr:colOff>
                    <xdr:row>10</xdr:row>
                    <xdr:rowOff>66675</xdr:rowOff>
                  </from>
                  <to>
                    <xdr:col>2</xdr:col>
                    <xdr:colOff>171450</xdr:colOff>
                    <xdr:row>12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1" r:id="rId12" name="Option Button 9">
              <controlPr defaultSize="0" autoFill="0" autoLine="0" autoPict="0">
                <anchor moveWithCells="1">
                  <from>
                    <xdr:col>7</xdr:col>
                    <xdr:colOff>428625</xdr:colOff>
                    <xdr:row>11</xdr:row>
                    <xdr:rowOff>152400</xdr:rowOff>
                  </from>
                  <to>
                    <xdr:col>7</xdr:col>
                    <xdr:colOff>733425</xdr:colOff>
                    <xdr:row>13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2" r:id="rId13" name="Option Button 10">
              <controlPr defaultSize="0" autoFill="0" autoLine="0" autoPict="0">
                <anchor moveWithCells="1">
                  <from>
                    <xdr:col>7</xdr:col>
                    <xdr:colOff>428625</xdr:colOff>
                    <xdr:row>12</xdr:row>
                    <xdr:rowOff>114300</xdr:rowOff>
                  </from>
                  <to>
                    <xdr:col>7</xdr:col>
                    <xdr:colOff>733425</xdr:colOff>
                    <xdr:row>14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3" r:id="rId14" name="Option Button 11">
              <controlPr defaultSize="0" autoFill="0" autoLine="0" autoPict="0">
                <anchor moveWithCells="1">
                  <from>
                    <xdr:col>7</xdr:col>
                    <xdr:colOff>428625</xdr:colOff>
                    <xdr:row>13</xdr:row>
                    <xdr:rowOff>114300</xdr:rowOff>
                  </from>
                  <to>
                    <xdr:col>7</xdr:col>
                    <xdr:colOff>733425</xdr:colOff>
                    <xdr:row>15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4" r:id="rId15" name="Check Box 12">
              <controlPr defaultSize="0" autoFill="0" autoLine="0" autoPict="0">
                <anchor moveWithCells="1">
                  <from>
                    <xdr:col>5</xdr:col>
                    <xdr:colOff>0</xdr:colOff>
                    <xdr:row>94</xdr:row>
                    <xdr:rowOff>114300</xdr:rowOff>
                  </from>
                  <to>
                    <xdr:col>5</xdr:col>
                    <xdr:colOff>304800</xdr:colOff>
                    <xdr:row>96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5" r:id="rId16" name="Check Box 13">
              <controlPr defaultSize="0" autoFill="0" autoLine="0" autoPict="0">
                <anchor moveWithCells="1">
                  <from>
                    <xdr:col>7</xdr:col>
                    <xdr:colOff>200025</xdr:colOff>
                    <xdr:row>94</xdr:row>
                    <xdr:rowOff>114300</xdr:rowOff>
                  </from>
                  <to>
                    <xdr:col>7</xdr:col>
                    <xdr:colOff>504825</xdr:colOff>
                    <xdr:row>96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6" r:id="rId17" name="Check Box 14">
              <controlPr defaultSize="0" autoFill="0" autoLine="0" autoPict="0">
                <anchor moveWithCells="1">
                  <from>
                    <xdr:col>5</xdr:col>
                    <xdr:colOff>0</xdr:colOff>
                    <xdr:row>94</xdr:row>
                    <xdr:rowOff>114300</xdr:rowOff>
                  </from>
                  <to>
                    <xdr:col>5</xdr:col>
                    <xdr:colOff>304800</xdr:colOff>
                    <xdr:row>96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7" r:id="rId18" name="Check Box 15">
              <controlPr defaultSize="0" autoFill="0" autoLine="0" autoPict="0">
                <anchor moveWithCells="1">
                  <from>
                    <xdr:col>7</xdr:col>
                    <xdr:colOff>200025</xdr:colOff>
                    <xdr:row>94</xdr:row>
                    <xdr:rowOff>114300</xdr:rowOff>
                  </from>
                  <to>
                    <xdr:col>7</xdr:col>
                    <xdr:colOff>504825</xdr:colOff>
                    <xdr:row>96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8" r:id="rId19" name="Check Box 16">
              <controlPr defaultSize="0" autoFill="0" autoLine="0" autoPict="0">
                <anchor moveWithCells="1">
                  <from>
                    <xdr:col>8</xdr:col>
                    <xdr:colOff>552450</xdr:colOff>
                    <xdr:row>21</xdr:row>
                    <xdr:rowOff>66675</xdr:rowOff>
                  </from>
                  <to>
                    <xdr:col>10</xdr:col>
                    <xdr:colOff>85725</xdr:colOff>
                    <xdr:row>23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9" r:id="rId20" name="Check Box 17">
              <controlPr defaultSize="0" autoFill="0" autoLine="0" autoPict="0">
                <anchor moveWithCells="1">
                  <from>
                    <xdr:col>8</xdr:col>
                    <xdr:colOff>552450</xdr:colOff>
                    <xdr:row>22</xdr:row>
                    <xdr:rowOff>133350</xdr:rowOff>
                  </from>
                  <to>
                    <xdr:col>10</xdr:col>
                    <xdr:colOff>85725</xdr:colOff>
                    <xdr:row>24</xdr:row>
                    <xdr:rowOff>47625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F44"/>
  <sheetViews>
    <sheetView workbookViewId="0">
      <selection activeCell="B10" sqref="B10"/>
    </sheetView>
  </sheetViews>
  <sheetFormatPr baseColWidth="10" defaultColWidth="11.42578125" defaultRowHeight="15" x14ac:dyDescent="0.25"/>
  <cols>
    <col min="1" max="1" width="15.85546875" style="1" customWidth="1"/>
    <col min="2" max="2" width="30.7109375" style="1" customWidth="1"/>
    <col min="3" max="3" width="22.7109375" style="1" customWidth="1"/>
    <col min="4" max="4" width="11.42578125" style="1"/>
    <col min="5" max="5" width="9.7109375" style="1" customWidth="1"/>
    <col min="6" max="6" width="24.28515625" style="1" customWidth="1"/>
    <col min="7" max="16384" width="11.42578125" style="1"/>
  </cols>
  <sheetData>
    <row r="2" spans="1:6" ht="22.5" x14ac:dyDescent="0.3">
      <c r="A2" s="7" t="s">
        <v>10</v>
      </c>
    </row>
    <row r="3" spans="1:6" x14ac:dyDescent="0.25">
      <c r="A3" s="8"/>
      <c r="B3" s="8"/>
      <c r="C3" s="8"/>
      <c r="D3" s="8"/>
      <c r="E3" s="8"/>
      <c r="F3" s="8"/>
    </row>
    <row r="5" spans="1:6" ht="30.95" customHeight="1" x14ac:dyDescent="0.25">
      <c r="A5" s="9" t="s">
        <v>11</v>
      </c>
      <c r="B5" s="9" t="s">
        <v>29</v>
      </c>
      <c r="C5" s="9" t="s">
        <v>32</v>
      </c>
      <c r="D5" s="9" t="s">
        <v>37</v>
      </c>
      <c r="E5" s="9" t="s">
        <v>85</v>
      </c>
      <c r="F5" s="9" t="s">
        <v>110</v>
      </c>
    </row>
    <row r="6" spans="1:6" x14ac:dyDescent="0.25">
      <c r="A6" s="10" t="s">
        <v>8</v>
      </c>
      <c r="B6" s="15" t="s">
        <v>101</v>
      </c>
      <c r="C6" s="15" t="s">
        <v>33</v>
      </c>
      <c r="D6" s="15" t="s">
        <v>42</v>
      </c>
      <c r="E6" s="15" t="s">
        <v>86</v>
      </c>
      <c r="F6" s="16" t="s">
        <v>111</v>
      </c>
    </row>
    <row r="7" spans="1:6" x14ac:dyDescent="0.25">
      <c r="A7" s="10" t="s">
        <v>12</v>
      </c>
      <c r="B7" s="16" t="s">
        <v>102</v>
      </c>
      <c r="C7" s="16" t="s">
        <v>34</v>
      </c>
      <c r="D7" s="16" t="s">
        <v>41</v>
      </c>
      <c r="E7" s="16" t="s">
        <v>87</v>
      </c>
      <c r="F7" s="16" t="s">
        <v>112</v>
      </c>
    </row>
    <row r="8" spans="1:6" x14ac:dyDescent="0.25">
      <c r="A8" s="10" t="s">
        <v>13</v>
      </c>
      <c r="B8" s="16" t="s">
        <v>103</v>
      </c>
      <c r="D8" s="16" t="s">
        <v>40</v>
      </c>
      <c r="E8" s="16" t="s">
        <v>88</v>
      </c>
      <c r="F8" s="16" t="s">
        <v>113</v>
      </c>
    </row>
    <row r="9" spans="1:6" x14ac:dyDescent="0.25">
      <c r="A9" s="10" t="s">
        <v>14</v>
      </c>
      <c r="B9" s="16" t="s">
        <v>104</v>
      </c>
      <c r="D9" s="16" t="s">
        <v>43</v>
      </c>
      <c r="F9" s="16" t="s">
        <v>114</v>
      </c>
    </row>
    <row r="10" spans="1:6" x14ac:dyDescent="0.25">
      <c r="A10" s="10" t="s">
        <v>15</v>
      </c>
      <c r="B10" s="16" t="s">
        <v>105</v>
      </c>
      <c r="D10" s="16" t="s">
        <v>45</v>
      </c>
      <c r="F10" s="16" t="s">
        <v>115</v>
      </c>
    </row>
    <row r="11" spans="1:6" x14ac:dyDescent="0.25">
      <c r="A11" s="10" t="s">
        <v>16</v>
      </c>
      <c r="B11" s="16" t="s">
        <v>106</v>
      </c>
      <c r="D11" s="16" t="s">
        <v>44</v>
      </c>
      <c r="F11" s="16" t="s">
        <v>116</v>
      </c>
    </row>
    <row r="12" spans="1:6" x14ac:dyDescent="0.25">
      <c r="A12" s="10" t="s">
        <v>17</v>
      </c>
      <c r="B12" s="16" t="s">
        <v>107</v>
      </c>
      <c r="D12" s="16" t="s">
        <v>46</v>
      </c>
      <c r="F12" s="16" t="s">
        <v>117</v>
      </c>
    </row>
    <row r="13" spans="1:6" x14ac:dyDescent="0.25">
      <c r="A13" s="10" t="s">
        <v>18</v>
      </c>
      <c r="B13" s="16" t="s">
        <v>108</v>
      </c>
      <c r="D13" s="16" t="s">
        <v>47</v>
      </c>
      <c r="F13" s="16" t="s">
        <v>118</v>
      </c>
    </row>
    <row r="14" spans="1:6" x14ac:dyDescent="0.25">
      <c r="A14" s="10" t="s">
        <v>19</v>
      </c>
      <c r="B14" s="16" t="s">
        <v>30</v>
      </c>
      <c r="D14" s="17" t="s">
        <v>48</v>
      </c>
    </row>
    <row r="15" spans="1:6" x14ac:dyDescent="0.25">
      <c r="A15" s="10" t="s">
        <v>20</v>
      </c>
      <c r="D15" s="16" t="s">
        <v>49</v>
      </c>
    </row>
    <row r="16" spans="1:6" x14ac:dyDescent="0.25">
      <c r="A16" s="10" t="s">
        <v>21</v>
      </c>
      <c r="D16" s="16" t="s">
        <v>50</v>
      </c>
    </row>
    <row r="17" spans="1:4" x14ac:dyDescent="0.25">
      <c r="A17" s="10" t="s">
        <v>22</v>
      </c>
      <c r="D17" s="16" t="s">
        <v>51</v>
      </c>
    </row>
    <row r="18" spans="1:4" x14ac:dyDescent="0.25">
      <c r="A18" s="10" t="s">
        <v>23</v>
      </c>
      <c r="D18" s="16" t="s">
        <v>52</v>
      </c>
    </row>
    <row r="19" spans="1:4" x14ac:dyDescent="0.25">
      <c r="A19" s="10" t="s">
        <v>24</v>
      </c>
      <c r="D19" s="16" t="s">
        <v>53</v>
      </c>
    </row>
    <row r="20" spans="1:4" x14ac:dyDescent="0.25">
      <c r="A20" s="10" t="s">
        <v>25</v>
      </c>
      <c r="D20" s="16" t="s">
        <v>42</v>
      </c>
    </row>
    <row r="21" spans="1:4" x14ac:dyDescent="0.25">
      <c r="A21" s="10" t="s">
        <v>26</v>
      </c>
      <c r="D21" s="16" t="s">
        <v>54</v>
      </c>
    </row>
    <row r="22" spans="1:4" x14ac:dyDescent="0.25">
      <c r="D22" s="16" t="s">
        <v>55</v>
      </c>
    </row>
    <row r="23" spans="1:4" x14ac:dyDescent="0.25">
      <c r="D23" s="16" t="s">
        <v>56</v>
      </c>
    </row>
    <row r="24" spans="1:4" x14ac:dyDescent="0.25">
      <c r="D24" s="16" t="s">
        <v>57</v>
      </c>
    </row>
    <row r="25" spans="1:4" x14ac:dyDescent="0.25">
      <c r="D25" s="16" t="s">
        <v>58</v>
      </c>
    </row>
    <row r="26" spans="1:4" x14ac:dyDescent="0.25">
      <c r="D26" s="16" t="s">
        <v>59</v>
      </c>
    </row>
    <row r="27" spans="1:4" x14ac:dyDescent="0.25">
      <c r="D27" s="16" t="s">
        <v>60</v>
      </c>
    </row>
    <row r="28" spans="1:4" x14ac:dyDescent="0.25">
      <c r="D28" s="16" t="s">
        <v>61</v>
      </c>
    </row>
    <row r="29" spans="1:4" x14ac:dyDescent="0.25">
      <c r="D29" s="16" t="s">
        <v>62</v>
      </c>
    </row>
    <row r="30" spans="1:4" x14ac:dyDescent="0.25">
      <c r="D30" s="16" t="s">
        <v>63</v>
      </c>
    </row>
    <row r="31" spans="1:4" x14ac:dyDescent="0.25">
      <c r="D31" s="16" t="s">
        <v>64</v>
      </c>
    </row>
    <row r="32" spans="1:4" x14ac:dyDescent="0.25">
      <c r="D32" s="16" t="s">
        <v>41</v>
      </c>
    </row>
    <row r="33" spans="4:4" x14ac:dyDescent="0.25">
      <c r="D33" s="16" t="s">
        <v>65</v>
      </c>
    </row>
    <row r="34" spans="4:4" x14ac:dyDescent="0.25">
      <c r="D34" s="16" t="s">
        <v>66</v>
      </c>
    </row>
    <row r="35" spans="4:4" x14ac:dyDescent="0.25">
      <c r="D35" s="16" t="s">
        <v>67</v>
      </c>
    </row>
    <row r="36" spans="4:4" x14ac:dyDescent="0.25">
      <c r="D36" s="16" t="s">
        <v>68</v>
      </c>
    </row>
    <row r="37" spans="4:4" x14ac:dyDescent="0.25">
      <c r="D37" s="16" t="s">
        <v>69</v>
      </c>
    </row>
    <row r="38" spans="4:4" x14ac:dyDescent="0.25">
      <c r="D38" s="16" t="s">
        <v>70</v>
      </c>
    </row>
    <row r="39" spans="4:4" x14ac:dyDescent="0.25">
      <c r="D39" s="16" t="s">
        <v>71</v>
      </c>
    </row>
    <row r="40" spans="4:4" x14ac:dyDescent="0.25">
      <c r="D40" s="16" t="s">
        <v>72</v>
      </c>
    </row>
    <row r="41" spans="4:4" x14ac:dyDescent="0.25">
      <c r="D41" s="16" t="s">
        <v>73</v>
      </c>
    </row>
    <row r="42" spans="4:4" x14ac:dyDescent="0.25">
      <c r="D42" s="16" t="s">
        <v>74</v>
      </c>
    </row>
    <row r="43" spans="4:4" x14ac:dyDescent="0.25">
      <c r="D43" s="16" t="s">
        <v>75</v>
      </c>
    </row>
    <row r="44" spans="4:4" x14ac:dyDescent="0.25">
      <c r="D44" s="16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9</vt:i4>
      </vt:variant>
    </vt:vector>
  </HeadingPairs>
  <TitlesOfParts>
    <vt:vector size="12" baseType="lpstr">
      <vt:lpstr>ABM Technology</vt:lpstr>
      <vt:lpstr>e-mail Form Technology</vt:lpstr>
      <vt:lpstr>Tablas</vt:lpstr>
      <vt:lpstr>'ABM Technology'!Área_de_impresión</vt:lpstr>
      <vt:lpstr>'e-mail Form Technology'!Área_de_impresión</vt:lpstr>
      <vt:lpstr>as</vt:lpstr>
      <vt:lpstr>Estado_Contractual</vt:lpstr>
      <vt:lpstr>Modalidad</vt:lpstr>
      <vt:lpstr>Moneda</vt:lpstr>
      <vt:lpstr>País</vt:lpstr>
      <vt:lpstr>Producto</vt:lpstr>
      <vt:lpstr>Vigencia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aforestiero</dc:creator>
  <cp:lastModifiedBy>PAOLA</cp:lastModifiedBy>
  <cp:lastPrinted>2024-01-26T23:01:25Z</cp:lastPrinted>
  <dcterms:created xsi:type="dcterms:W3CDTF">2010-03-29T20:55:58Z</dcterms:created>
  <dcterms:modified xsi:type="dcterms:W3CDTF">2024-01-26T23:03:14Z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