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SCRIPTION DATA\LABORATORIOS\ABM - CONTRATOS\2025\ABM\"/>
    </mc:Choice>
  </mc:AlternateContent>
  <xr:revisionPtr revIDLastSave="0" documentId="13_ncr:1_{F96E0950-775F-49FA-8C65-BCF047C124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M Prescription Audits" sheetId="7" r:id="rId1"/>
    <sheet name="e-mail Form Audits" sheetId="8" r:id="rId2"/>
    <sheet name="Tablas" sheetId="5" r:id="rId3"/>
  </sheets>
  <definedNames>
    <definedName name="_xlnm.Print_Area" localSheetId="0">'ABM Prescription Audits'!$A$1:$T$86</definedName>
    <definedName name="_xlnm.Print_Area" localSheetId="1">'e-mail Form Audits'!$A$1:$N$78</definedName>
    <definedName name="Estado_Contractual">Tablas!$C$6:$C$7</definedName>
    <definedName name="Moneda">Tablas!$E$6:$E$8</definedName>
    <definedName name="País">Tablas!$A$6:$A$21</definedName>
    <definedName name="Producto">Tablas!$B$6:$B$23</definedName>
    <definedName name="Vigencia">Tablas!$D$6:$D$44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1" i="8" l="1"/>
  <c r="K51" i="8"/>
  <c r="I51" i="8"/>
  <c r="H51" i="8"/>
  <c r="R59" i="7"/>
  <c r="Q59" i="7"/>
  <c r="M59" i="7"/>
  <c r="L59" i="7"/>
  <c r="G40" i="7"/>
  <c r="H40" i="7" s="1"/>
  <c r="G41" i="7"/>
  <c r="H41" i="7" s="1"/>
  <c r="G44" i="7"/>
  <c r="H44" i="7" s="1"/>
  <c r="B58" i="8" l="1"/>
  <c r="M43" i="7"/>
  <c r="M46" i="7"/>
  <c r="M47" i="7"/>
  <c r="M50" i="7"/>
  <c r="M53" i="7"/>
  <c r="M56" i="7"/>
  <c r="M58" i="7"/>
  <c r="G48" i="7"/>
  <c r="G49" i="7" s="1"/>
  <c r="E43" i="8" s="1"/>
  <c r="G45" i="7"/>
  <c r="E41" i="8" s="1"/>
  <c r="F49" i="7"/>
  <c r="E49" i="7"/>
  <c r="H48" i="7" l="1"/>
  <c r="H49" i="7" s="1"/>
  <c r="H45" i="7"/>
  <c r="G42" i="7"/>
  <c r="E39" i="8" s="1"/>
  <c r="H42" i="7"/>
  <c r="L48" i="7"/>
  <c r="M48" i="7" s="1"/>
  <c r="L44" i="7"/>
  <c r="M44" i="7" s="1"/>
  <c r="L41" i="7"/>
  <c r="M41" i="7" s="1"/>
  <c r="L40" i="7"/>
  <c r="M40" i="7" s="1"/>
  <c r="Q47" i="7" l="1"/>
  <c r="P47" i="7"/>
  <c r="O47" i="7"/>
  <c r="R47" i="7" l="1"/>
  <c r="S47" i="7" s="1"/>
  <c r="L7" i="8" l="1"/>
  <c r="K49" i="7"/>
  <c r="J49" i="7"/>
  <c r="L49" i="7" l="1"/>
  <c r="M49" i="7" s="1"/>
  <c r="R48" i="7"/>
  <c r="R49" i="7" s="1"/>
  <c r="L45" i="7" l="1"/>
  <c r="M45" i="7" s="1"/>
  <c r="D23" i="8" l="1"/>
  <c r="L42" i="7" l="1"/>
  <c r="M42" i="7" s="1"/>
  <c r="P54" i="7"/>
  <c r="O54" i="7"/>
  <c r="P51" i="7"/>
  <c r="O51" i="7"/>
  <c r="S48" i="7"/>
  <c r="P48" i="7"/>
  <c r="O48" i="7"/>
  <c r="P44" i="7"/>
  <c r="O44" i="7"/>
  <c r="P41" i="7"/>
  <c r="O41" i="7"/>
  <c r="P40" i="7"/>
  <c r="O40" i="7"/>
  <c r="R37" i="7"/>
  <c r="S37" i="7" s="1"/>
  <c r="O37" i="7"/>
  <c r="P37" i="7"/>
  <c r="C32" i="8"/>
  <c r="I26" i="8"/>
  <c r="K21" i="8"/>
  <c r="K10" i="8"/>
  <c r="C7" i="8"/>
  <c r="R38" i="7" l="1"/>
  <c r="M38" i="7"/>
  <c r="I37" i="8" s="1"/>
  <c r="Q48" i="7"/>
  <c r="G54" i="7"/>
  <c r="G55" i="7" s="1"/>
  <c r="E47" i="8" s="1"/>
  <c r="H52" i="7"/>
  <c r="F45" i="8" s="1"/>
  <c r="G51" i="7"/>
  <c r="G52" i="7" s="1"/>
  <c r="E45" i="8" s="1"/>
  <c r="L54" i="7"/>
  <c r="M54" i="7" s="1"/>
  <c r="R54" i="7" s="1"/>
  <c r="S54" i="7" s="1"/>
  <c r="L51" i="7"/>
  <c r="M51" i="7" s="1"/>
  <c r="R51" i="7" s="1"/>
  <c r="S51" i="7" s="1"/>
  <c r="H41" i="8"/>
  <c r="L37" i="7"/>
  <c r="G37" i="7"/>
  <c r="G38" i="7" s="1"/>
  <c r="E37" i="8" s="1"/>
  <c r="L55" i="7" l="1"/>
  <c r="Q54" i="7"/>
  <c r="Q55" i="7" s="1"/>
  <c r="K47" i="8" s="1"/>
  <c r="L52" i="7"/>
  <c r="Q51" i="7"/>
  <c r="Q52" i="7" s="1"/>
  <c r="K45" i="8" s="1"/>
  <c r="Q37" i="7"/>
  <c r="Q38" i="7" s="1"/>
  <c r="K37" i="8" s="1"/>
  <c r="R40" i="7"/>
  <c r="I41" i="8"/>
  <c r="R44" i="7"/>
  <c r="S44" i="7" s="1"/>
  <c r="Q44" i="7"/>
  <c r="Q45" i="7" s="1"/>
  <c r="K41" i="8" s="1"/>
  <c r="R41" i="7"/>
  <c r="S41" i="7" s="1"/>
  <c r="Q41" i="7"/>
  <c r="H43" i="8"/>
  <c r="Q40" i="7"/>
  <c r="L38" i="7"/>
  <c r="H37" i="8" s="1"/>
  <c r="I43" i="8"/>
  <c r="F43" i="8"/>
  <c r="H39" i="8"/>
  <c r="H45" i="8" l="1"/>
  <c r="M52" i="7"/>
  <c r="H47" i="8"/>
  <c r="H49" i="8" s="1"/>
  <c r="M55" i="7"/>
  <c r="I47" i="8" s="1"/>
  <c r="L57" i="7"/>
  <c r="G57" i="7"/>
  <c r="G59" i="7" s="1"/>
  <c r="E49" i="8"/>
  <c r="E51" i="8" s="1"/>
  <c r="S49" i="7"/>
  <c r="Q42" i="7"/>
  <c r="Q49" i="7"/>
  <c r="K43" i="8" s="1"/>
  <c r="H38" i="7"/>
  <c r="S38" i="7" s="1"/>
  <c r="F41" i="8"/>
  <c r="H55" i="7"/>
  <c r="F47" i="8" s="1"/>
  <c r="M57" i="7" l="1"/>
  <c r="I45" i="8"/>
  <c r="F37" i="8"/>
  <c r="L43" i="8"/>
  <c r="M43" i="8" s="1"/>
  <c r="Q57" i="7"/>
  <c r="K39" i="8"/>
  <c r="K49" i="8" s="1"/>
  <c r="R52" i="7"/>
  <c r="R55" i="7"/>
  <c r="S55" i="7" s="1"/>
  <c r="R45" i="7"/>
  <c r="S45" i="7" s="1"/>
  <c r="S52" i="7" l="1"/>
  <c r="L45" i="8"/>
  <c r="M45" i="8" s="1"/>
  <c r="L41" i="8"/>
  <c r="M41" i="8" s="1"/>
  <c r="L37" i="8"/>
  <c r="L47" i="8"/>
  <c r="M47" i="8" s="1"/>
  <c r="M37" i="8" l="1"/>
  <c r="R42" i="7" l="1"/>
  <c r="H57" i="7"/>
  <c r="H59" i="7" s="1"/>
  <c r="I39" i="8" l="1"/>
  <c r="I49" i="8" s="1"/>
  <c r="S42" i="7"/>
  <c r="L39" i="8"/>
  <c r="R57" i="7"/>
  <c r="S40" i="7"/>
  <c r="F39" i="8"/>
  <c r="F49" i="8" s="1"/>
  <c r="I52" i="8" l="1"/>
  <c r="S57" i="7"/>
  <c r="S59" i="7"/>
  <c r="F52" i="8"/>
  <c r="F51" i="8"/>
  <c r="M39" i="8"/>
  <c r="L49" i="8"/>
  <c r="M49" i="8" l="1"/>
  <c r="M51" i="8"/>
</calcChain>
</file>

<file path=xl/sharedStrings.xml><?xml version="1.0" encoding="utf-8"?>
<sst xmlns="http://schemas.openxmlformats.org/spreadsheetml/2006/main" count="223" uniqueCount="157">
  <si>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</si>
  <si>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</si>
  <si>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</si>
  <si>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</si>
  <si>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</si>
  <si>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</si>
  <si>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</si>
  <si>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</si>
  <si>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</si>
  <si>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</si>
  <si>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</si>
  <si>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</si>
  <si>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</si>
  <si>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</si>
  <si>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</si>
  <si>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</si>
  <si>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</si>
  <si>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</si>
  <si>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</si>
  <si>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</si>
  <si>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</si>
  <si>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</si>
  <si>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</si>
  <si>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</si>
  <si>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</si>
  <si>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</si>
  <si>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</si>
  <si>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</si>
  <si>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</si>
  <si>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r>
      <rPr>
        <b/>
        <sz val="10"/>
        <color theme="1"/>
        <rFont val="Arial"/>
        <family val="2"/>
      </rPr>
      <t>País</t>
    </r>
    <r>
      <rPr>
        <b/>
        <sz val="10"/>
        <color theme="0" tint="-0.499984740745262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Country:</t>
    </r>
  </si>
  <si>
    <t>Producto</t>
  </si>
  <si>
    <t>Regional Analyzer</t>
  </si>
  <si>
    <t>Recepta</t>
  </si>
  <si>
    <t>Focus PPC</t>
  </si>
  <si>
    <t>Estudio_Especial</t>
  </si>
  <si>
    <t>Quick Data</t>
  </si>
  <si>
    <t>Hospital Report</t>
  </si>
  <si>
    <t>Close-Up Market</t>
  </si>
  <si>
    <t>Close-Up Targeting</t>
  </si>
  <si>
    <t>Close-Up Rep's</t>
  </si>
  <si>
    <t>Integrador Pharma Mix</t>
  </si>
  <si>
    <t>Integrador Analyzer</t>
  </si>
  <si>
    <t>Data Mart O.S.</t>
  </si>
  <si>
    <t>Otros</t>
  </si>
  <si>
    <t>Pharma Mix</t>
  </si>
  <si>
    <t>Pharma Mix Focus</t>
  </si>
  <si>
    <t>Close-Up Analyzer</t>
  </si>
  <si>
    <t>Close-Up Analyzer Reps</t>
  </si>
  <si>
    <t>Prescriber's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</si>
  <si>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</si>
  <si>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</si>
  <si>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</si>
  <si>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</si>
  <si>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</si>
  <si>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</si>
  <si>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</si>
  <si>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</si>
  <si>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</si>
  <si>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</si>
  <si>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</si>
  <si>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</si>
  <si>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</si>
  <si>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</si>
  <si>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</si>
  <si>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</si>
  <si>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</si>
  <si>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</si>
  <si>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</si>
  <si>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</si>
  <si>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</si>
  <si>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</si>
  <si>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</si>
  <si>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</si>
  <si>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</si>
  <si>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</si>
  <si>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</si>
  <si>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</si>
  <si>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</si>
  <si>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</si>
  <si>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</si>
  <si>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</si>
  <si>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</si>
  <si>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</si>
  <si>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</si>
  <si>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</si>
  <si>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</si>
  <si>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</si>
  <si>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</si>
  <si>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</si>
  <si>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</si>
  <si>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</si>
  <si>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</si>
  <si>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</si>
  <si>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</si>
  <si>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</si>
  <si>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Mercados</t>
  </si>
  <si>
    <t>Regiones</t>
  </si>
  <si>
    <t>Rep's</t>
  </si>
  <si>
    <t>Int. Pharma Mix</t>
  </si>
  <si>
    <t>Int. Analyzer</t>
  </si>
  <si>
    <t>Integrador</t>
  </si>
  <si>
    <t>Contrato Actual</t>
  </si>
  <si>
    <t>Cant.</t>
  </si>
  <si>
    <t>Hosting + Proces.</t>
  </si>
  <si>
    <t>Total 
Base</t>
  </si>
  <si>
    <t>Pcio. 
Unit.</t>
  </si>
  <si>
    <t>Total Neto</t>
  </si>
  <si>
    <t>Est. Esp. / Otros</t>
  </si>
  <si>
    <t>Contrato Anterior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</si>
  <si>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</si>
  <si>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</si>
  <si>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</si>
  <si>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</si>
  <si>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</si>
  <si>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</si>
  <si>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</si>
  <si>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</si>
  <si>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</si>
  <si>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</si>
  <si>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</si>
  <si>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</si>
  <si>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</si>
  <si>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</si>
  <si>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</si>
  <si>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</si>
  <si>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</si>
  <si>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</si>
  <si>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r>
      <t xml:space="preserve">Alta de cliente </t>
    </r>
    <r>
      <rPr>
        <i/>
        <sz val="9"/>
        <color theme="0" tint="-0.499984740745262"/>
        <rFont val="Arial"/>
        <family val="2"/>
      </rPr>
      <t>/ High client</t>
    </r>
  </si>
  <si>
    <t>Total 
Neto</t>
  </si>
  <si>
    <t>Responsable de cuenta:</t>
  </si>
  <si>
    <t>Producto:</t>
  </si>
  <si>
    <t>Cliente:</t>
  </si>
  <si>
    <r>
      <t>Fecha de Contrato</t>
    </r>
    <r>
      <rPr>
        <b/>
        <i/>
        <sz val="9"/>
        <color theme="1"/>
        <rFont val="Arial"/>
        <family val="2"/>
      </rPr>
      <t>:</t>
    </r>
  </si>
  <si>
    <t>Vigencia:</t>
  </si>
  <si>
    <t>País: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</si>
  <si>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</si>
  <si>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Fecha:</t>
  </si>
  <si>
    <t>Cliente Nuevo</t>
  </si>
  <si>
    <t>Cliente Existente</t>
  </si>
  <si>
    <t>Alta de cliente</t>
  </si>
  <si>
    <t>Modificación - Addendum</t>
  </si>
  <si>
    <t>Baja-Cancelación</t>
  </si>
  <si>
    <t>Estado:</t>
  </si>
  <si>
    <t>Edición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</si>
  <si>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</si>
  <si>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</si>
  <si>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</si>
  <si>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Observaciones &amp; Motivo de cancelación:</t>
  </si>
  <si>
    <t>Claúsulas Contractuales</t>
  </si>
  <si>
    <t xml:space="preserve">       Si</t>
  </si>
  <si>
    <t xml:space="preserve">             No</t>
  </si>
  <si>
    <t>Posee Tipo de cambio tope</t>
  </si>
  <si>
    <t>TC Tope</t>
  </si>
  <si>
    <t>Estado contractual:</t>
  </si>
  <si>
    <t>RONALD CARDOZO</t>
  </si>
  <si>
    <t>SCHMIDTS PHARMA</t>
  </si>
  <si>
    <t>NUEVO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</si>
</sst>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_ ;_ @_ "/>
    <numFmt numFmtId="166" formatCode="#,##0.0000"/>
    <numFmt numFmtId="167" formatCode="0.0%"/>
    <numFmt numFmtId="168" formatCode="_(* #,##0_);_(* \(#,##0\);_(* &quot;-&quot;??_);_(@_)"/>
    <numFmt numFmtId="169" formatCode="_(* #,##0.0000_);_(* \(#,##0.00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b/>
      <sz val="9"/>
      <color theme="1" tint="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3" tint="-0.499984740745262"/>
      <name val="Arial"/>
      <family val="2"/>
    </font>
    <font>
      <sz val="7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164" fontId="1" fillId="0" borderId="0" applyFont="0" applyFill="0" applyBorder="0" applyAlignment="0" applyProtection="0"/>
  </cellStyleXfs>
  <cellXfs count="135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1" xfId="0" applyFill="1" applyBorder="1"/>
    <xf numFmtId="0" fontId="8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2" fillId="0" borderId="3" xfId="2" applyFont="1" applyBorder="1"/>
    <xf numFmtId="0" fontId="14" fillId="2" borderId="0" xfId="0" applyFont="1" applyFill="1"/>
    <xf numFmtId="0" fontId="14" fillId="2" borderId="1" xfId="0" applyFont="1" applyFill="1" applyBorder="1"/>
    <xf numFmtId="0" fontId="16" fillId="2" borderId="0" xfId="0" applyFont="1" applyFill="1"/>
    <xf numFmtId="0" fontId="6" fillId="2" borderId="0" xfId="0" applyFont="1" applyFill="1"/>
    <xf numFmtId="0" fontId="18" fillId="2" borderId="0" xfId="0" applyFont="1" applyFill="1" applyAlignment="1">
      <alignment horizontal="left" vertical="center"/>
    </xf>
    <xf numFmtId="0" fontId="12" fillId="0" borderId="4" xfId="2" applyFont="1" applyBorder="1" applyAlignment="1">
      <alignment wrapText="1"/>
    </xf>
    <xf numFmtId="0" fontId="12" fillId="0" borderId="4" xfId="2" applyFont="1" applyBorder="1"/>
    <xf numFmtId="0" fontId="19" fillId="0" borderId="4" xfId="2" applyFont="1" applyBorder="1"/>
    <xf numFmtId="0" fontId="16" fillId="2" borderId="0" xfId="0" applyFont="1" applyFill="1" applyAlignment="1">
      <alignment vertical="center"/>
    </xf>
    <xf numFmtId="0" fontId="21" fillId="5" borderId="5" xfId="0" applyFont="1" applyFill="1" applyBorder="1" applyAlignment="1">
      <alignment vertical="center"/>
    </xf>
    <xf numFmtId="0" fontId="21" fillId="5" borderId="5" xfId="0" applyFont="1" applyFill="1" applyBorder="1" applyAlignment="1">
      <alignment horizontal="center" wrapText="1"/>
    </xf>
    <xf numFmtId="0" fontId="21" fillId="4" borderId="5" xfId="0" applyFont="1" applyFill="1" applyBorder="1" applyAlignment="1">
      <alignment horizontal="center" wrapText="1"/>
    </xf>
    <xf numFmtId="0" fontId="16" fillId="2" borderId="9" xfId="0" applyFont="1" applyFill="1" applyBorder="1" applyAlignment="1">
      <alignment vertical="center"/>
    </xf>
    <xf numFmtId="0" fontId="16" fillId="2" borderId="9" xfId="0" applyFont="1" applyFill="1" applyBorder="1"/>
    <xf numFmtId="0" fontId="16" fillId="2" borderId="10" xfId="0" applyFont="1" applyFill="1" applyBorder="1"/>
    <xf numFmtId="0" fontId="6" fillId="3" borderId="10" xfId="0" applyFont="1" applyFill="1" applyBorder="1" applyAlignment="1">
      <alignment vertical="center"/>
    </xf>
    <xf numFmtId="0" fontId="16" fillId="3" borderId="10" xfId="0" applyFont="1" applyFill="1" applyBorder="1"/>
    <xf numFmtId="165" fontId="16" fillId="2" borderId="9" xfId="0" applyNumberFormat="1" applyFont="1" applyFill="1" applyBorder="1"/>
    <xf numFmtId="165" fontId="6" fillId="3" borderId="10" xfId="0" applyNumberFormat="1" applyFont="1" applyFill="1" applyBorder="1"/>
    <xf numFmtId="165" fontId="16" fillId="2" borderId="10" xfId="0" applyNumberFormat="1" applyFont="1" applyFill="1" applyBorder="1"/>
    <xf numFmtId="0" fontId="6" fillId="3" borderId="10" xfId="0" applyFont="1" applyFill="1" applyBorder="1"/>
    <xf numFmtId="165" fontId="6" fillId="8" borderId="10" xfId="0" applyNumberFormat="1" applyFont="1" applyFill="1" applyBorder="1"/>
    <xf numFmtId="0" fontId="21" fillId="5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165" fontId="6" fillId="3" borderId="9" xfId="0" applyNumberFormat="1" applyFont="1" applyFill="1" applyBorder="1"/>
    <xf numFmtId="165" fontId="6" fillId="8" borderId="9" xfId="0" applyNumberFormat="1" applyFont="1" applyFill="1" applyBorder="1"/>
    <xf numFmtId="0" fontId="26" fillId="2" borderId="0" xfId="0" applyFont="1" applyFill="1"/>
    <xf numFmtId="0" fontId="20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7" fillId="2" borderId="0" xfId="0" applyFont="1" applyFill="1"/>
    <xf numFmtId="0" fontId="6" fillId="2" borderId="0" xfId="0" applyFont="1" applyFill="1" applyAlignment="1">
      <alignment horizontal="right"/>
    </xf>
    <xf numFmtId="165" fontId="16" fillId="2" borderId="0" xfId="0" applyNumberFormat="1" applyFont="1" applyFill="1"/>
    <xf numFmtId="165" fontId="6" fillId="2" borderId="0" xfId="0" applyNumberFormat="1" applyFont="1" applyFill="1"/>
    <xf numFmtId="0" fontId="27" fillId="2" borderId="0" xfId="0" applyFont="1" applyFill="1"/>
    <xf numFmtId="165" fontId="26" fillId="2" borderId="0" xfId="0" applyNumberFormat="1" applyFont="1" applyFill="1"/>
    <xf numFmtId="9" fontId="26" fillId="2" borderId="0" xfId="0" applyNumberFormat="1" applyFont="1" applyFill="1"/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16" fillId="2" borderId="11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16" fillId="2" borderId="15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16" fillId="2" borderId="14" xfId="0" applyFont="1" applyFill="1" applyBorder="1" applyAlignment="1">
      <alignment vertical="center"/>
    </xf>
    <xf numFmtId="0" fontId="16" fillId="2" borderId="15" xfId="0" applyFont="1" applyFill="1" applyBorder="1" applyAlignment="1">
      <alignment vertical="center"/>
    </xf>
    <xf numFmtId="0" fontId="14" fillId="2" borderId="14" xfId="0" applyFont="1" applyFill="1" applyBorder="1"/>
    <xf numFmtId="0" fontId="14" fillId="2" borderId="15" xfId="0" applyFont="1" applyFill="1" applyBorder="1"/>
    <xf numFmtId="0" fontId="6" fillId="2" borderId="14" xfId="0" applyFont="1" applyFill="1" applyBorder="1"/>
    <xf numFmtId="0" fontId="6" fillId="2" borderId="15" xfId="0" applyFont="1" applyFill="1" applyBorder="1"/>
    <xf numFmtId="0" fontId="26" fillId="2" borderId="14" xfId="0" applyFont="1" applyFill="1" applyBorder="1"/>
    <xf numFmtId="0" fontId="26" fillId="2" borderId="15" xfId="0" applyFont="1" applyFill="1" applyBorder="1"/>
    <xf numFmtId="0" fontId="6" fillId="7" borderId="9" xfId="0" applyFont="1" applyFill="1" applyBorder="1"/>
    <xf numFmtId="165" fontId="6" fillId="7" borderId="9" xfId="0" applyNumberFormat="1" applyFont="1" applyFill="1" applyBorder="1"/>
    <xf numFmtId="165" fontId="6" fillId="6" borderId="9" xfId="0" applyNumberFormat="1" applyFont="1" applyFill="1" applyBorder="1"/>
    <xf numFmtId="0" fontId="6" fillId="7" borderId="16" xfId="0" applyFont="1" applyFill="1" applyBorder="1"/>
    <xf numFmtId="165" fontId="6" fillId="7" borderId="16" xfId="0" applyNumberFormat="1" applyFont="1" applyFill="1" applyBorder="1"/>
    <xf numFmtId="165" fontId="6" fillId="6" borderId="16" xfId="0" applyNumberFormat="1" applyFont="1" applyFill="1" applyBorder="1"/>
    <xf numFmtId="0" fontId="16" fillId="2" borderId="17" xfId="0" applyFont="1" applyFill="1" applyBorder="1"/>
    <xf numFmtId="0" fontId="16" fillId="2" borderId="18" xfId="0" applyFont="1" applyFill="1" applyBorder="1"/>
    <xf numFmtId="0" fontId="16" fillId="2" borderId="19" xfId="0" applyFont="1" applyFill="1" applyBorder="1"/>
    <xf numFmtId="0" fontId="16" fillId="2" borderId="0" xfId="0" applyFont="1" applyFill="1" applyAlignment="1">
      <alignment horizontal="right" vertical="center"/>
    </xf>
    <xf numFmtId="165" fontId="28" fillId="2" borderId="9" xfId="0" applyNumberFormat="1" applyFont="1" applyFill="1" applyBorder="1"/>
    <xf numFmtId="165" fontId="30" fillId="3" borderId="10" xfId="0" applyNumberFormat="1" applyFont="1" applyFill="1" applyBorder="1"/>
    <xf numFmtId="165" fontId="28" fillId="2" borderId="0" xfId="0" applyNumberFormat="1" applyFont="1" applyFill="1"/>
    <xf numFmtId="165" fontId="28" fillId="2" borderId="10" xfId="0" applyNumberFormat="1" applyFont="1" applyFill="1" applyBorder="1"/>
    <xf numFmtId="165" fontId="30" fillId="7" borderId="16" xfId="0" applyNumberFormat="1" applyFont="1" applyFill="1" applyBorder="1"/>
    <xf numFmtId="0" fontId="28" fillId="2" borderId="0" xfId="0" applyFont="1" applyFill="1"/>
    <xf numFmtId="165" fontId="30" fillId="7" borderId="9" xfId="0" applyNumberFormat="1" applyFont="1" applyFill="1" applyBorder="1"/>
    <xf numFmtId="165" fontId="30" fillId="3" borderId="9" xfId="0" applyNumberFormat="1" applyFont="1" applyFill="1" applyBorder="1"/>
    <xf numFmtId="165" fontId="30" fillId="2" borderId="0" xfId="0" applyNumberFormat="1" applyFont="1" applyFill="1"/>
    <xf numFmtId="0" fontId="18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1" fillId="2" borderId="0" xfId="0" applyFont="1" applyFill="1" applyAlignment="1">
      <alignment horizontal="right" vertical="center"/>
    </xf>
    <xf numFmtId="0" fontId="16" fillId="2" borderId="9" xfId="0" applyFont="1" applyFill="1" applyBorder="1" applyAlignment="1">
      <alignment horizontal="left"/>
    </xf>
    <xf numFmtId="9" fontId="23" fillId="2" borderId="9" xfId="1" applyFont="1" applyFill="1" applyBorder="1" applyAlignment="1">
      <alignment horizontal="right"/>
    </xf>
    <xf numFmtId="9" fontId="24" fillId="8" borderId="10" xfId="1" applyFont="1" applyFill="1" applyBorder="1" applyAlignment="1">
      <alignment horizontal="right"/>
    </xf>
    <xf numFmtId="9" fontId="23" fillId="2" borderId="0" xfId="1" applyFont="1" applyFill="1" applyBorder="1" applyAlignment="1">
      <alignment horizontal="right"/>
    </xf>
    <xf numFmtId="0" fontId="16" fillId="3" borderId="0" xfId="0" applyFont="1" applyFill="1" applyAlignment="1">
      <alignment vertical="center"/>
    </xf>
    <xf numFmtId="0" fontId="16" fillId="3" borderId="20" xfId="0" applyFont="1" applyFill="1" applyBorder="1" applyAlignment="1">
      <alignment vertical="center"/>
    </xf>
    <xf numFmtId="0" fontId="32" fillId="3" borderId="20" xfId="0" applyFont="1" applyFill="1" applyBorder="1" applyAlignment="1">
      <alignment vertical="center"/>
    </xf>
    <xf numFmtId="0" fontId="32" fillId="3" borderId="0" xfId="0" applyFont="1" applyFill="1" applyAlignment="1">
      <alignment vertical="center"/>
    </xf>
    <xf numFmtId="9" fontId="6" fillId="2" borderId="0" xfId="0" applyNumberFormat="1" applyFont="1" applyFill="1"/>
    <xf numFmtId="0" fontId="33" fillId="2" borderId="9" xfId="0" applyFont="1" applyFill="1" applyBorder="1"/>
    <xf numFmtId="0" fontId="33" fillId="2" borderId="10" xfId="0" applyFont="1" applyFill="1" applyBorder="1"/>
    <xf numFmtId="167" fontId="26" fillId="2" borderId="0" xfId="1" applyNumberFormat="1" applyFont="1" applyFill="1" applyBorder="1"/>
    <xf numFmtId="9" fontId="16" fillId="2" borderId="0" xfId="0" applyNumberFormat="1" applyFont="1" applyFill="1"/>
    <xf numFmtId="164" fontId="16" fillId="2" borderId="0" xfId="0" applyNumberFormat="1" applyFont="1" applyFill="1"/>
    <xf numFmtId="10" fontId="26" fillId="2" borderId="0" xfId="1" applyNumberFormat="1" applyFont="1" applyFill="1" applyBorder="1"/>
    <xf numFmtId="10" fontId="23" fillId="2" borderId="9" xfId="1" applyNumberFormat="1" applyFont="1" applyFill="1" applyBorder="1" applyAlignment="1">
      <alignment horizontal="right"/>
    </xf>
    <xf numFmtId="10" fontId="23" fillId="2" borderId="10" xfId="1" applyNumberFormat="1" applyFont="1" applyFill="1" applyBorder="1" applyAlignment="1">
      <alignment horizontal="right"/>
    </xf>
    <xf numFmtId="10" fontId="24" fillId="8" borderId="10" xfId="1" applyNumberFormat="1" applyFont="1" applyFill="1" applyBorder="1" applyAlignment="1">
      <alignment horizontal="right"/>
    </xf>
    <xf numFmtId="10" fontId="23" fillId="2" borderId="0" xfId="1" applyNumberFormat="1" applyFont="1" applyFill="1" applyBorder="1" applyAlignment="1">
      <alignment horizontal="right"/>
    </xf>
    <xf numFmtId="10" fontId="24" fillId="6" borderId="16" xfId="1" applyNumberFormat="1" applyFont="1" applyFill="1" applyBorder="1" applyAlignment="1">
      <alignment horizontal="right"/>
    </xf>
    <xf numFmtId="10" fontId="16" fillId="2" borderId="0" xfId="0" applyNumberFormat="1" applyFont="1" applyFill="1" applyAlignment="1">
      <alignment horizontal="right"/>
    </xf>
    <xf numFmtId="10" fontId="24" fillId="6" borderId="9" xfId="1" applyNumberFormat="1" applyFont="1" applyFill="1" applyBorder="1" applyAlignment="1">
      <alignment horizontal="right"/>
    </xf>
    <xf numFmtId="168" fontId="16" fillId="2" borderId="0" xfId="0" applyNumberFormat="1" applyFont="1" applyFill="1"/>
    <xf numFmtId="168" fontId="16" fillId="2" borderId="0" xfId="3" applyNumberFormat="1" applyFont="1" applyFill="1"/>
    <xf numFmtId="10" fontId="16" fillId="2" borderId="0" xfId="1" applyNumberFormat="1" applyFont="1" applyFill="1"/>
    <xf numFmtId="9" fontId="24" fillId="6" borderId="16" xfId="1" applyFont="1" applyFill="1" applyBorder="1" applyAlignment="1">
      <alignment horizontal="right"/>
    </xf>
    <xf numFmtId="9" fontId="16" fillId="2" borderId="0" xfId="0" applyNumberFormat="1" applyFont="1" applyFill="1" applyAlignment="1">
      <alignment horizontal="right"/>
    </xf>
    <xf numFmtId="9" fontId="24" fillId="6" borderId="9" xfId="1" applyFont="1" applyFill="1" applyBorder="1" applyAlignment="1">
      <alignment horizontal="right"/>
    </xf>
    <xf numFmtId="169" fontId="16" fillId="2" borderId="0" xfId="0" applyNumberFormat="1" applyFont="1" applyFill="1"/>
    <xf numFmtId="0" fontId="4" fillId="2" borderId="9" xfId="0" applyFont="1" applyFill="1" applyBorder="1"/>
    <xf numFmtId="165" fontId="6" fillId="2" borderId="9" xfId="0" applyNumberFormat="1" applyFont="1" applyFill="1" applyBorder="1"/>
    <xf numFmtId="0" fontId="16" fillId="3" borderId="0" xfId="0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7" fontId="16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166" fontId="16" fillId="3" borderId="9" xfId="0" applyNumberFormat="1" applyFont="1" applyFill="1" applyBorder="1" applyAlignment="1">
      <alignment horizontal="center" vertical="center"/>
    </xf>
    <xf numFmtId="0" fontId="32" fillId="3" borderId="20" xfId="0" applyFont="1" applyFill="1" applyBorder="1" applyAlignment="1">
      <alignment horizontal="left" vertical="center"/>
    </xf>
    <xf numFmtId="17" fontId="16" fillId="3" borderId="0" xfId="0" applyNumberFormat="1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left" vertical="center"/>
    </xf>
    <xf numFmtId="0" fontId="32" fillId="3" borderId="0" xfId="0" applyFont="1" applyFill="1" applyAlignment="1">
      <alignment horizontal="left" vertical="center"/>
    </xf>
  </cellXfs>
  <cellStyles count="4">
    <cellStyle name="Millares" xfId="3" builtinId="3"/>
    <cellStyle name="Normal" xfId="0" builtinId="0"/>
    <cellStyle name="Normal_Hoja2_1 2" xfId="2" xr:uid="{00000000-0005-0000-0000-000002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checked="Checked" firstButton="1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checked="Checked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checked="Checked" lockText="1"/>
</file>

<file path=xl/ctrlProps/ctrlProp14.xml><?xml version="1.0" encoding="utf-8"?>
<formControlPr xmlns="http://schemas.microsoft.com/office/spreadsheetml/2009/9/main" objectType="CheckBox" checked="Checked" lockText="1"/>
</file>

<file path=xl/ctrlProps/ctrlProp15.xml><?xml version="1.0" encoding="utf-8"?>
<formControlPr xmlns="http://schemas.microsoft.com/office/spreadsheetml/2009/9/main" objectType="CheckBox" checked="Checked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checked="Checked" lockText="1"/>
</file>

<file path=xl/ctrlProps/ctrlProp21.xml><?xml version="1.0" encoding="utf-8"?>
<formControlPr xmlns="http://schemas.microsoft.com/office/spreadsheetml/2009/9/main" objectType="CheckBox" checked="Checked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Radio" checked="Checked" firstButton="1" lockText="1"/>
</file>

<file path=xl/ctrlProps/ctrlProp25.xml><?xml version="1.0" encoding="utf-8"?>
<formControlPr xmlns="http://schemas.microsoft.com/office/spreadsheetml/2009/9/main" objectType="Radio" lockText="1"/>
</file>

<file path=xl/ctrlProps/ctrlProp26.xml><?xml version="1.0" encoding="utf-8"?>
<formControlPr xmlns="http://schemas.microsoft.com/office/spreadsheetml/2009/9/main" objectType="Radio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checked="Checked" lockText="1"/>
</file>

<file path=xl/ctrlProps/ctrlProp31.xml><?xml version="1.0" encoding="utf-8"?>
<formControlPr xmlns="http://schemas.microsoft.com/office/spreadsheetml/2009/9/main" objectType="CheckBox" checked="Checked" lockText="1"/>
</file>

<file path=xl/ctrlProps/ctrlProp32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11</xdr:row>
          <xdr:rowOff>142875</xdr:rowOff>
        </xdr:from>
        <xdr:to>
          <xdr:col>12</xdr:col>
          <xdr:colOff>66675</xdr:colOff>
          <xdr:row>13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12</xdr:row>
          <xdr:rowOff>104775</xdr:rowOff>
        </xdr:from>
        <xdr:to>
          <xdr:col>12</xdr:col>
          <xdr:colOff>66675</xdr:colOff>
          <xdr:row>14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13</xdr:row>
          <xdr:rowOff>104775</xdr:rowOff>
        </xdr:from>
        <xdr:to>
          <xdr:col>12</xdr:col>
          <xdr:colOff>66675</xdr:colOff>
          <xdr:row>15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66675</xdr:rowOff>
        </xdr:from>
        <xdr:to>
          <xdr:col>11</xdr:col>
          <xdr:colOff>152400</xdr:colOff>
          <xdr:row>12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74</xdr:row>
          <xdr:rowOff>114300</xdr:rowOff>
        </xdr:from>
        <xdr:to>
          <xdr:col>6</xdr:col>
          <xdr:colOff>438150</xdr:colOff>
          <xdr:row>76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76</xdr:row>
          <xdr:rowOff>114300</xdr:rowOff>
        </xdr:from>
        <xdr:to>
          <xdr:col>6</xdr:col>
          <xdr:colOff>438150</xdr:colOff>
          <xdr:row>78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78</xdr:row>
          <xdr:rowOff>114300</xdr:rowOff>
        </xdr:from>
        <xdr:to>
          <xdr:col>6</xdr:col>
          <xdr:colOff>438150</xdr:colOff>
          <xdr:row>80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74</xdr:row>
          <xdr:rowOff>114300</xdr:rowOff>
        </xdr:from>
        <xdr:to>
          <xdr:col>10</xdr:col>
          <xdr:colOff>161925</xdr:colOff>
          <xdr:row>76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76</xdr:row>
          <xdr:rowOff>114300</xdr:rowOff>
        </xdr:from>
        <xdr:to>
          <xdr:col>10</xdr:col>
          <xdr:colOff>161925</xdr:colOff>
          <xdr:row>78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78</xdr:row>
          <xdr:rowOff>114300</xdr:rowOff>
        </xdr:from>
        <xdr:to>
          <xdr:col>10</xdr:col>
          <xdr:colOff>161925</xdr:colOff>
          <xdr:row>80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10</xdr:row>
          <xdr:rowOff>66675</xdr:rowOff>
        </xdr:from>
        <xdr:to>
          <xdr:col>2</xdr:col>
          <xdr:colOff>123825</xdr:colOff>
          <xdr:row>12</xdr:row>
          <xdr:rowOff>47625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80</xdr:row>
          <xdr:rowOff>114300</xdr:rowOff>
        </xdr:from>
        <xdr:to>
          <xdr:col>6</xdr:col>
          <xdr:colOff>438150</xdr:colOff>
          <xdr:row>82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80</xdr:row>
          <xdr:rowOff>114300</xdr:rowOff>
        </xdr:from>
        <xdr:to>
          <xdr:col>10</xdr:col>
          <xdr:colOff>161925</xdr:colOff>
          <xdr:row>82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21</xdr:row>
          <xdr:rowOff>76200</xdr:rowOff>
        </xdr:from>
        <xdr:to>
          <xdr:col>15</xdr:col>
          <xdr:colOff>152400</xdr:colOff>
          <xdr:row>23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133350</xdr:rowOff>
        </xdr:from>
        <xdr:to>
          <xdr:col>15</xdr:col>
          <xdr:colOff>152400</xdr:colOff>
          <xdr:row>24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16</xdr:col>
      <xdr:colOff>76200</xdr:colOff>
      <xdr:row>1</xdr:row>
      <xdr:rowOff>66675</xdr:rowOff>
    </xdr:from>
    <xdr:to>
      <xdr:col>18</xdr:col>
      <xdr:colOff>295275</xdr:colOff>
      <xdr:row>4</xdr:row>
      <xdr:rowOff>228600</xdr:rowOff>
    </xdr:to>
    <xdr:pic>
      <xdr:nvPicPr>
        <xdr:cNvPr id="18" name="1 Imagen" descr="logo CUP nuevo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48325" y="123825"/>
          <a:ext cx="12477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552449</xdr:colOff>
      <xdr:row>1</xdr:row>
      <xdr:rowOff>9525</xdr:rowOff>
    </xdr:from>
    <xdr:to>
      <xdr:col>12</xdr:col>
      <xdr:colOff>40105</xdr:colOff>
      <xdr:row>4</xdr:row>
      <xdr:rowOff>50132</xdr:rowOff>
    </xdr:to>
    <xdr:pic>
      <xdr:nvPicPr>
        <xdr:cNvPr id="3" name="1 Imagen" descr="logo CUP nuevo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94107" y="69683"/>
          <a:ext cx="1182103" cy="40155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66</xdr:row>
          <xdr:rowOff>114300</xdr:rowOff>
        </xdr:from>
        <xdr:to>
          <xdr:col>5</xdr:col>
          <xdr:colOff>304800</xdr:colOff>
          <xdr:row>68</xdr:row>
          <xdr:rowOff>19050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68</xdr:row>
          <xdr:rowOff>114300</xdr:rowOff>
        </xdr:from>
        <xdr:to>
          <xdr:col>5</xdr:col>
          <xdr:colOff>304800</xdr:colOff>
          <xdr:row>70</xdr:row>
          <xdr:rowOff>19050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70</xdr:row>
          <xdr:rowOff>114300</xdr:rowOff>
        </xdr:from>
        <xdr:to>
          <xdr:col>5</xdr:col>
          <xdr:colOff>304800</xdr:colOff>
          <xdr:row>72</xdr:row>
          <xdr:rowOff>19050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66</xdr:row>
          <xdr:rowOff>114300</xdr:rowOff>
        </xdr:from>
        <xdr:to>
          <xdr:col>7</xdr:col>
          <xdr:colOff>504825</xdr:colOff>
          <xdr:row>68</xdr:row>
          <xdr:rowOff>19050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68</xdr:row>
          <xdr:rowOff>114300</xdr:rowOff>
        </xdr:from>
        <xdr:to>
          <xdr:col>7</xdr:col>
          <xdr:colOff>504825</xdr:colOff>
          <xdr:row>70</xdr:row>
          <xdr:rowOff>19050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70</xdr:row>
          <xdr:rowOff>114300</xdr:rowOff>
        </xdr:from>
        <xdr:to>
          <xdr:col>7</xdr:col>
          <xdr:colOff>504825</xdr:colOff>
          <xdr:row>72</xdr:row>
          <xdr:rowOff>19050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</xdr:row>
          <xdr:rowOff>66675</xdr:rowOff>
        </xdr:from>
        <xdr:to>
          <xdr:col>7</xdr:col>
          <xdr:colOff>190500</xdr:colOff>
          <xdr:row>12</xdr:row>
          <xdr:rowOff>47625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10</xdr:row>
          <xdr:rowOff>66675</xdr:rowOff>
        </xdr:from>
        <xdr:to>
          <xdr:col>2</xdr:col>
          <xdr:colOff>171450</xdr:colOff>
          <xdr:row>12</xdr:row>
          <xdr:rowOff>47625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11</xdr:row>
          <xdr:rowOff>152400</xdr:rowOff>
        </xdr:from>
        <xdr:to>
          <xdr:col>8</xdr:col>
          <xdr:colOff>95250</xdr:colOff>
          <xdr:row>13</xdr:row>
          <xdr:rowOff>28575</xdr:rowOff>
        </xdr:to>
        <xdr:sp macro="" textlink="">
          <xdr:nvSpPr>
            <xdr:cNvPr id="2063" name="Option Butto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12</xdr:row>
          <xdr:rowOff>114300</xdr:rowOff>
        </xdr:from>
        <xdr:to>
          <xdr:col>8</xdr:col>
          <xdr:colOff>95250</xdr:colOff>
          <xdr:row>14</xdr:row>
          <xdr:rowOff>28575</xdr:rowOff>
        </xdr:to>
        <xdr:sp macro="" textlink="">
          <xdr:nvSpPr>
            <xdr:cNvPr id="2064" name="Option Butto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13</xdr:row>
          <xdr:rowOff>114300</xdr:rowOff>
        </xdr:from>
        <xdr:to>
          <xdr:col>8</xdr:col>
          <xdr:colOff>95250</xdr:colOff>
          <xdr:row>15</xdr:row>
          <xdr:rowOff>28575</xdr:rowOff>
        </xdr:to>
        <xdr:sp macro="" textlink="">
          <xdr:nvSpPr>
            <xdr:cNvPr id="2065" name="Option Butto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114300</xdr:rowOff>
        </xdr:from>
        <xdr:to>
          <xdr:col>5</xdr:col>
          <xdr:colOff>304800</xdr:colOff>
          <xdr:row>74</xdr:row>
          <xdr:rowOff>19050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72</xdr:row>
          <xdr:rowOff>114300</xdr:rowOff>
        </xdr:from>
        <xdr:to>
          <xdr:col>7</xdr:col>
          <xdr:colOff>504825</xdr:colOff>
          <xdr:row>74</xdr:row>
          <xdr:rowOff>19050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72</xdr:row>
          <xdr:rowOff>114300</xdr:rowOff>
        </xdr:from>
        <xdr:to>
          <xdr:col>5</xdr:col>
          <xdr:colOff>304800</xdr:colOff>
          <xdr:row>74</xdr:row>
          <xdr:rowOff>19050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72</xdr:row>
          <xdr:rowOff>114300</xdr:rowOff>
        </xdr:from>
        <xdr:to>
          <xdr:col>7</xdr:col>
          <xdr:colOff>504825</xdr:colOff>
          <xdr:row>74</xdr:row>
          <xdr:rowOff>19050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21</xdr:row>
          <xdr:rowOff>66675</xdr:rowOff>
        </xdr:from>
        <xdr:to>
          <xdr:col>10</xdr:col>
          <xdr:colOff>9525</xdr:colOff>
          <xdr:row>23</xdr:row>
          <xdr:rowOff>47625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22</xdr:row>
          <xdr:rowOff>133350</xdr:rowOff>
        </xdr:from>
        <xdr:to>
          <xdr:col>10</xdr:col>
          <xdr:colOff>9525</xdr:colOff>
          <xdr:row>24</xdr:row>
          <xdr:rowOff>47625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8.xml"/><Relationship Id="rId20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19" Type="http://schemas.openxmlformats.org/officeDocument/2006/relationships/ctrlProp" Target="../ctrlProps/ctrlProp31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B85"/>
  <sheetViews>
    <sheetView tabSelected="1" topLeftCell="A18" workbookViewId="0">
      <selection activeCell="D21" sqref="D21:I21"/>
    </sheetView>
  </sheetViews>
  <sheetFormatPr baseColWidth="10" defaultColWidth="11.42578125" defaultRowHeight="12" x14ac:dyDescent="0.2"/>
  <cols>
    <col min="1" max="1" width="1.5703125" style="13" customWidth="1"/>
    <col min="2" max="2" width="8.140625" style="13" customWidth="1"/>
    <col min="3" max="3" width="8.7109375" style="13" customWidth="1"/>
    <col min="4" max="4" width="1.7109375" style="13" customWidth="1"/>
    <col min="5" max="6" width="5.140625" style="13" customWidth="1"/>
    <col min="7" max="7" width="7" style="13" customWidth="1"/>
    <col min="8" max="8" width="7.42578125" style="13" customWidth="1"/>
    <col min="9" max="9" width="1.7109375" style="13" customWidth="1"/>
    <col min="10" max="11" width="5.140625" style="13" customWidth="1"/>
    <col min="12" max="12" width="7.7109375" style="13" customWidth="1"/>
    <col min="13" max="13" width="7" style="13" customWidth="1"/>
    <col min="14" max="14" width="1.7109375" style="13" customWidth="1"/>
    <col min="15" max="16" width="5.140625" style="13" customWidth="1"/>
    <col min="17" max="18" width="7.7109375" style="13" customWidth="1"/>
    <col min="19" max="19" width="8.140625" style="13" customWidth="1"/>
    <col min="20" max="20" width="0.85546875" style="13" customWidth="1"/>
    <col min="21" max="26" width="11.42578125" style="13"/>
    <col min="27" max="27" width="16.140625" style="13" customWidth="1"/>
    <col min="28" max="16384" width="11.42578125" style="13"/>
  </cols>
  <sheetData>
    <row r="1" spans="1:20" ht="5.0999999999999996" customHeight="1" x14ac:dyDescent="0.2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3"/>
    </row>
    <row r="2" spans="1:20" ht="9.9499999999999993" customHeight="1" x14ac:dyDescent="0.2">
      <c r="A2" s="54"/>
      <c r="T2" s="55"/>
    </row>
    <row r="3" spans="1:20" ht="9.9499999999999993" customHeight="1" x14ac:dyDescent="0.2">
      <c r="A3" s="54"/>
      <c r="T3" s="55"/>
    </row>
    <row r="4" spans="1:20" ht="9.9499999999999993" customHeight="1" x14ac:dyDescent="0.2">
      <c r="A4" s="54"/>
      <c r="T4" s="55"/>
    </row>
    <row r="5" spans="1:20" s="1" customFormat="1" ht="26.25" x14ac:dyDescent="0.4">
      <c r="A5" s="56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T5" s="57"/>
    </row>
    <row r="6" spans="1:20" s="1" customFormat="1" ht="15" x14ac:dyDescent="0.25">
      <c r="A6" s="56"/>
      <c r="T6" s="57"/>
    </row>
    <row r="7" spans="1:20" s="19" customFormat="1" ht="15" customHeight="1" x14ac:dyDescent="0.25">
      <c r="A7" s="58"/>
      <c r="B7" s="15" t="s">
        <v>29</v>
      </c>
      <c r="D7" s="121" t="s">
        <v>22</v>
      </c>
      <c r="E7" s="121"/>
      <c r="F7" s="121"/>
      <c r="G7" s="121"/>
      <c r="Q7" s="34" t="s">
        <v>9</v>
      </c>
      <c r="R7" s="122">
        <v>45825</v>
      </c>
      <c r="S7" s="122"/>
      <c r="T7" s="59"/>
    </row>
    <row r="8" spans="1:20" s="1" customFormat="1" ht="5.0999999999999996" customHeight="1" x14ac:dyDescent="0.25">
      <c r="A8" s="56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7"/>
    </row>
    <row r="9" spans="1:20" s="1" customFormat="1" ht="5.0999999999999996" customHeight="1" x14ac:dyDescent="0.25">
      <c r="A9" s="56"/>
      <c r="T9" s="57"/>
    </row>
    <row r="10" spans="1:20" s="19" customFormat="1" ht="15" customHeight="1" x14ac:dyDescent="0.25">
      <c r="A10" s="58"/>
      <c r="B10" s="2" t="s">
        <v>50</v>
      </c>
      <c r="K10" s="39" t="s">
        <v>126</v>
      </c>
      <c r="L10" s="39"/>
      <c r="P10" s="121" t="s">
        <v>154</v>
      </c>
      <c r="Q10" s="121"/>
      <c r="R10" s="121"/>
      <c r="S10" s="121"/>
      <c r="T10" s="59"/>
    </row>
    <row r="11" spans="1:20" ht="9.9499999999999993" customHeight="1" x14ac:dyDescent="0.2">
      <c r="A11" s="54"/>
      <c r="T11" s="55"/>
    </row>
    <row r="12" spans="1:20" s="19" customFormat="1" ht="15" customHeight="1" x14ac:dyDescent="0.25">
      <c r="A12" s="58"/>
      <c r="C12" s="39" t="s">
        <v>27</v>
      </c>
      <c r="L12" s="39" t="s">
        <v>28</v>
      </c>
      <c r="M12" s="39"/>
      <c r="O12" s="39"/>
      <c r="T12" s="59"/>
    </row>
    <row r="13" spans="1:20" x14ac:dyDescent="0.2">
      <c r="A13" s="54"/>
      <c r="M13" s="40" t="s">
        <v>127</v>
      </c>
      <c r="N13" s="40"/>
      <c r="T13" s="55"/>
    </row>
    <row r="14" spans="1:20" x14ac:dyDescent="0.2">
      <c r="A14" s="54"/>
      <c r="M14" s="40" t="s">
        <v>118</v>
      </c>
      <c r="N14" s="40"/>
      <c r="T14" s="55"/>
    </row>
    <row r="15" spans="1:20" x14ac:dyDescent="0.2">
      <c r="A15" s="54"/>
      <c r="M15" s="40" t="s">
        <v>119</v>
      </c>
      <c r="N15" s="40"/>
      <c r="T15" s="55"/>
    </row>
    <row r="16" spans="1:20" ht="5.0999999999999996" customHeight="1" x14ac:dyDescent="0.2">
      <c r="A16" s="54"/>
      <c r="T16" s="55"/>
    </row>
    <row r="17" spans="1:20" s="11" customFormat="1" ht="3" customHeight="1" x14ac:dyDescent="0.2">
      <c r="A17" s="6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61"/>
    </row>
    <row r="18" spans="1:20" s="11" customFormat="1" ht="5.0999999999999996" customHeight="1" x14ac:dyDescent="0.2">
      <c r="A18" s="60"/>
      <c r="T18" s="61"/>
    </row>
    <row r="19" spans="1:20" ht="15" customHeight="1" x14ac:dyDescent="0.2">
      <c r="A19" s="54"/>
      <c r="B19" s="2" t="s">
        <v>49</v>
      </c>
      <c r="T19" s="55"/>
    </row>
    <row r="20" spans="1:20" ht="9.9499999999999993" customHeight="1" x14ac:dyDescent="0.2">
      <c r="A20" s="54"/>
      <c r="T20" s="55"/>
    </row>
    <row r="21" spans="1:20" s="19" customFormat="1" ht="15" customHeight="1" x14ac:dyDescent="0.25">
      <c r="A21" s="58"/>
      <c r="B21" s="39" t="s">
        <v>54</v>
      </c>
      <c r="D21" s="121" t="s">
        <v>155</v>
      </c>
      <c r="E21" s="121"/>
      <c r="F21" s="121"/>
      <c r="G21" s="121"/>
      <c r="H21" s="121"/>
      <c r="I21" s="121"/>
      <c r="L21" s="39" t="s">
        <v>55</v>
      </c>
      <c r="O21" s="121" t="s">
        <v>46</v>
      </c>
      <c r="P21" s="121"/>
      <c r="Q21" s="121"/>
      <c r="R21" s="121"/>
      <c r="S21" s="121"/>
      <c r="T21" s="59"/>
    </row>
    <row r="22" spans="1:20" ht="9.9499999999999993" customHeight="1" x14ac:dyDescent="0.2">
      <c r="A22" s="54"/>
      <c r="T22" s="55"/>
    </row>
    <row r="23" spans="1:20" s="19" customFormat="1" ht="15" customHeight="1" thickBot="1" x14ac:dyDescent="0.25">
      <c r="A23" s="58"/>
      <c r="B23" s="3" t="s">
        <v>109</v>
      </c>
      <c r="F23" s="13"/>
      <c r="G23" s="122">
        <v>45786</v>
      </c>
      <c r="H23" s="123"/>
      <c r="I23" s="123"/>
      <c r="L23" s="39" t="s">
        <v>153</v>
      </c>
      <c r="P23" s="96" t="s">
        <v>52</v>
      </c>
      <c r="Q23" s="95"/>
      <c r="R23" s="95"/>
      <c r="S23" s="95"/>
      <c r="T23" s="59"/>
    </row>
    <row r="24" spans="1:20" ht="15" customHeight="1" x14ac:dyDescent="0.2">
      <c r="A24" s="54"/>
      <c r="P24" s="97" t="s">
        <v>53</v>
      </c>
      <c r="Q24" s="94"/>
      <c r="R24" s="94"/>
      <c r="S24" s="94"/>
      <c r="T24" s="55"/>
    </row>
    <row r="25" spans="1:20" ht="9.9499999999999993" customHeight="1" x14ac:dyDescent="0.2">
      <c r="A25" s="54"/>
      <c r="T25" s="55"/>
    </row>
    <row r="26" spans="1:20" ht="15" customHeight="1" x14ac:dyDescent="0.2">
      <c r="A26" s="54"/>
      <c r="B26" s="39" t="s">
        <v>117</v>
      </c>
      <c r="C26" s="19"/>
      <c r="D26" s="121" t="s">
        <v>68</v>
      </c>
      <c r="E26" s="121"/>
      <c r="F26" s="121"/>
      <c r="G26" s="121"/>
      <c r="I26" s="14"/>
      <c r="J26" s="126" t="s">
        <v>110</v>
      </c>
      <c r="K26" s="126"/>
      <c r="L26" s="126"/>
      <c r="M26" s="41" t="s">
        <v>57</v>
      </c>
      <c r="N26" s="125">
        <v>45809</v>
      </c>
      <c r="O26" s="125"/>
      <c r="P26" s="125"/>
      <c r="Q26" s="41" t="s">
        <v>58</v>
      </c>
      <c r="R26" s="125">
        <v>45992</v>
      </c>
      <c r="S26" s="125"/>
      <c r="T26" s="125"/>
    </row>
    <row r="27" spans="1:20" ht="5.0999999999999996" customHeight="1" x14ac:dyDescent="0.2">
      <c r="A27" s="54"/>
      <c r="T27" s="55"/>
    </row>
    <row r="28" spans="1:20" s="11" customFormat="1" ht="3" customHeight="1" x14ac:dyDescent="0.2">
      <c r="A28" s="6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1"/>
    </row>
    <row r="29" spans="1:20" s="11" customFormat="1" ht="5.0999999999999996" customHeight="1" x14ac:dyDescent="0.2">
      <c r="A29" s="60"/>
      <c r="T29" s="61"/>
    </row>
    <row r="30" spans="1:20" ht="12.75" x14ac:dyDescent="0.2">
      <c r="A30" s="54"/>
      <c r="B30" s="2" t="s">
        <v>111</v>
      </c>
      <c r="T30" s="55"/>
    </row>
    <row r="31" spans="1:20" ht="9.9499999999999993" customHeight="1" x14ac:dyDescent="0.2">
      <c r="A31" s="54"/>
      <c r="T31" s="55"/>
    </row>
    <row r="32" spans="1:20" ht="15" customHeight="1" x14ac:dyDescent="0.2">
      <c r="A32" s="54"/>
      <c r="B32" s="39" t="s">
        <v>116</v>
      </c>
      <c r="D32" s="121" t="s">
        <v>113</v>
      </c>
      <c r="E32" s="121"/>
      <c r="F32" s="121"/>
      <c r="G32" s="121"/>
      <c r="T32" s="55"/>
    </row>
    <row r="33" spans="1:28" x14ac:dyDescent="0.2">
      <c r="A33" s="54"/>
      <c r="T33" s="55"/>
    </row>
    <row r="34" spans="1:28" ht="14.25" customHeight="1" x14ac:dyDescent="0.2">
      <c r="A34" s="54"/>
      <c r="E34" s="127" t="s">
        <v>108</v>
      </c>
      <c r="F34" s="128"/>
      <c r="G34" s="128"/>
      <c r="H34" s="129"/>
      <c r="J34" s="127" t="s">
        <v>101</v>
      </c>
      <c r="K34" s="128"/>
      <c r="L34" s="128"/>
      <c r="M34" s="129"/>
      <c r="O34" s="127" t="s">
        <v>0</v>
      </c>
      <c r="P34" s="128"/>
      <c r="Q34" s="128"/>
      <c r="R34" s="128"/>
      <c r="S34" s="129"/>
      <c r="T34" s="55"/>
    </row>
    <row r="35" spans="1:28" ht="24.75" customHeight="1" x14ac:dyDescent="0.2">
      <c r="A35" s="54"/>
      <c r="E35" s="20" t="s">
        <v>102</v>
      </c>
      <c r="F35" s="21" t="s">
        <v>105</v>
      </c>
      <c r="G35" s="21" t="s">
        <v>104</v>
      </c>
      <c r="H35" s="22" t="s">
        <v>106</v>
      </c>
      <c r="J35" s="20" t="s">
        <v>102</v>
      </c>
      <c r="K35" s="21" t="s">
        <v>105</v>
      </c>
      <c r="L35" s="21" t="s">
        <v>104</v>
      </c>
      <c r="M35" s="22" t="s">
        <v>106</v>
      </c>
      <c r="O35" s="20" t="s">
        <v>102</v>
      </c>
      <c r="P35" s="21" t="s">
        <v>105</v>
      </c>
      <c r="Q35" s="21" t="s">
        <v>104</v>
      </c>
      <c r="R35" s="22" t="s">
        <v>106</v>
      </c>
      <c r="S35" s="33" t="s">
        <v>1</v>
      </c>
      <c r="T35" s="55"/>
    </row>
    <row r="36" spans="1:28" x14ac:dyDescent="0.2">
      <c r="A36" s="54"/>
      <c r="T36" s="55"/>
    </row>
    <row r="37" spans="1:28" x14ac:dyDescent="0.2">
      <c r="A37" s="54"/>
      <c r="B37" s="23" t="s">
        <v>37</v>
      </c>
      <c r="C37" s="24"/>
      <c r="E37" s="76"/>
      <c r="F37" s="76"/>
      <c r="G37" s="28">
        <f>E37*F37</f>
        <v>0</v>
      </c>
      <c r="H37" s="28"/>
      <c r="I37" s="42"/>
      <c r="J37" s="76"/>
      <c r="K37" s="76"/>
      <c r="L37" s="28">
        <f>J37*K37</f>
        <v>0</v>
      </c>
      <c r="M37" s="28"/>
      <c r="N37" s="42"/>
      <c r="O37" s="76">
        <f>J37-E37</f>
        <v>0</v>
      </c>
      <c r="P37" s="76">
        <f>K37-F37</f>
        <v>0</v>
      </c>
      <c r="Q37" s="28">
        <f>L37-G37</f>
        <v>0</v>
      </c>
      <c r="R37" s="28">
        <f>M37-H37</f>
        <v>0</v>
      </c>
      <c r="S37" s="91" t="str">
        <f>IFERROR(R37/H37,"-")</f>
        <v>-</v>
      </c>
      <c r="T37" s="55"/>
    </row>
    <row r="38" spans="1:28" x14ac:dyDescent="0.2">
      <c r="A38" s="54"/>
      <c r="B38" s="26" t="s">
        <v>37</v>
      </c>
      <c r="C38" s="27"/>
      <c r="E38" s="77"/>
      <c r="F38" s="77"/>
      <c r="G38" s="29">
        <f>G37</f>
        <v>0</v>
      </c>
      <c r="H38" s="32">
        <f>H37</f>
        <v>0</v>
      </c>
      <c r="I38" s="43"/>
      <c r="J38" s="77"/>
      <c r="K38" s="77"/>
      <c r="L38" s="29">
        <f>L37</f>
        <v>0</v>
      </c>
      <c r="M38" s="32">
        <f>M37</f>
        <v>0</v>
      </c>
      <c r="N38" s="43"/>
      <c r="O38" s="77"/>
      <c r="P38" s="77"/>
      <c r="Q38" s="29">
        <f>Q37</f>
        <v>0</v>
      </c>
      <c r="R38" s="32">
        <f>R37</f>
        <v>0</v>
      </c>
      <c r="S38" s="92" t="str">
        <f>IFERROR(R38/H38,"-")</f>
        <v>-</v>
      </c>
      <c r="T38" s="55"/>
    </row>
    <row r="39" spans="1:28" x14ac:dyDescent="0.2">
      <c r="A39" s="54"/>
      <c r="E39" s="78"/>
      <c r="F39" s="78"/>
      <c r="G39" s="42"/>
      <c r="H39" s="42"/>
      <c r="I39" s="42"/>
      <c r="J39" s="78"/>
      <c r="K39" s="78"/>
      <c r="L39" s="42"/>
      <c r="M39" s="42"/>
      <c r="N39" s="42"/>
      <c r="O39" s="78"/>
      <c r="P39" s="78"/>
      <c r="Q39" s="42"/>
      <c r="R39" s="42"/>
      <c r="S39" s="93"/>
      <c r="T39" s="55"/>
      <c r="W39" s="102"/>
      <c r="Y39" s="102"/>
    </row>
    <row r="40" spans="1:28" x14ac:dyDescent="0.2">
      <c r="A40" s="54"/>
      <c r="B40" s="24" t="s">
        <v>95</v>
      </c>
      <c r="C40" s="24"/>
      <c r="E40" s="76">
        <v>0</v>
      </c>
      <c r="F40" s="76">
        <v>0</v>
      </c>
      <c r="G40" s="28">
        <f>E40*F40</f>
        <v>0</v>
      </c>
      <c r="H40" s="28">
        <f>G40-(G40*0.5132)</f>
        <v>0</v>
      </c>
      <c r="I40" s="42"/>
      <c r="J40" s="76">
        <v>13</v>
      </c>
      <c r="K40" s="76">
        <v>130</v>
      </c>
      <c r="L40" s="28">
        <f>J40*K40</f>
        <v>1690</v>
      </c>
      <c r="M40" s="28">
        <f>L40-(L40*0.48)</f>
        <v>878.80000000000007</v>
      </c>
      <c r="N40" s="42"/>
      <c r="O40" s="76">
        <f t="shared" ref="O40:Q41" si="0">J40-E40</f>
        <v>13</v>
      </c>
      <c r="P40" s="76">
        <f t="shared" si="0"/>
        <v>130</v>
      </c>
      <c r="Q40" s="28">
        <f t="shared" si="0"/>
        <v>1690</v>
      </c>
      <c r="R40" s="28">
        <f t="shared" ref="R40:R41" si="1">M40-H40</f>
        <v>878.80000000000007</v>
      </c>
      <c r="S40" s="105" t="str">
        <f>IFERROR(R40/H40,"-")</f>
        <v>-</v>
      </c>
      <c r="T40" s="55"/>
      <c r="V40" s="112"/>
      <c r="W40" s="112"/>
      <c r="X40" s="114"/>
      <c r="Y40" s="112"/>
    </row>
    <row r="41" spans="1:28" x14ac:dyDescent="0.2">
      <c r="A41" s="54"/>
      <c r="B41" s="25" t="s">
        <v>96</v>
      </c>
      <c r="C41" s="25"/>
      <c r="E41" s="79">
        <v>0</v>
      </c>
      <c r="F41" s="79">
        <v>0</v>
      </c>
      <c r="G41" s="30">
        <f>E41*F41</f>
        <v>0</v>
      </c>
      <c r="H41" s="28">
        <f>G41-(G41*0.5132)</f>
        <v>0</v>
      </c>
      <c r="I41" s="42"/>
      <c r="J41" s="79">
        <v>6</v>
      </c>
      <c r="K41" s="79">
        <v>130</v>
      </c>
      <c r="L41" s="30">
        <f>J41*K41</f>
        <v>780</v>
      </c>
      <c r="M41" s="28">
        <f t="shared" ref="M41:M58" si="2">L41-(L41*0.48)</f>
        <v>405.6</v>
      </c>
      <c r="N41" s="42"/>
      <c r="O41" s="79">
        <f t="shared" si="0"/>
        <v>6</v>
      </c>
      <c r="P41" s="79">
        <f t="shared" si="0"/>
        <v>130</v>
      </c>
      <c r="Q41" s="30">
        <f t="shared" si="0"/>
        <v>780</v>
      </c>
      <c r="R41" s="30">
        <f t="shared" si="1"/>
        <v>405.6</v>
      </c>
      <c r="S41" s="106" t="str">
        <f>IFERROR(R41/H41,"-")</f>
        <v>-</v>
      </c>
      <c r="T41" s="55"/>
      <c r="V41" s="113"/>
      <c r="W41" s="112"/>
      <c r="X41" s="114"/>
      <c r="Y41" s="112"/>
      <c r="AB41" s="103"/>
    </row>
    <row r="42" spans="1:28" x14ac:dyDescent="0.2">
      <c r="A42" s="54"/>
      <c r="B42" s="31" t="s">
        <v>38</v>
      </c>
      <c r="C42" s="27"/>
      <c r="E42" s="77"/>
      <c r="F42" s="77"/>
      <c r="G42" s="29">
        <f>SUM(G40:G41)</f>
        <v>0</v>
      </c>
      <c r="H42" s="32">
        <f>SUM(H40:H41)</f>
        <v>0</v>
      </c>
      <c r="I42" s="43"/>
      <c r="J42" s="77"/>
      <c r="K42" s="77"/>
      <c r="L42" s="29">
        <f>SUM(L40:L41)</f>
        <v>2470</v>
      </c>
      <c r="M42" s="28">
        <f t="shared" si="2"/>
        <v>1284.4000000000001</v>
      </c>
      <c r="N42" s="43"/>
      <c r="O42" s="77"/>
      <c r="P42" s="77"/>
      <c r="Q42" s="29">
        <f>SUM(Q40:Q41)</f>
        <v>2470</v>
      </c>
      <c r="R42" s="32">
        <f>SUM(R40:R41)</f>
        <v>1284.4000000000001</v>
      </c>
      <c r="S42" s="107" t="str">
        <f>IFERROR(R42/H42,"-")</f>
        <v>-</v>
      </c>
      <c r="T42" s="55"/>
      <c r="V42" s="112"/>
      <c r="W42" s="112"/>
      <c r="X42" s="114"/>
      <c r="Y42" s="112"/>
    </row>
    <row r="43" spans="1:28" x14ac:dyDescent="0.2">
      <c r="A43" s="54"/>
      <c r="E43" s="78"/>
      <c r="F43" s="78"/>
      <c r="G43" s="42"/>
      <c r="H43" s="42"/>
      <c r="I43" s="42"/>
      <c r="J43" s="78"/>
      <c r="K43" s="78"/>
      <c r="L43" s="42"/>
      <c r="M43" s="28">
        <f t="shared" si="2"/>
        <v>0</v>
      </c>
      <c r="N43" s="42"/>
      <c r="O43" s="78"/>
      <c r="P43" s="78"/>
      <c r="Q43" s="42"/>
      <c r="R43" s="42"/>
      <c r="S43" s="108"/>
      <c r="T43" s="55"/>
      <c r="V43" s="112"/>
      <c r="W43" s="112"/>
      <c r="X43" s="114"/>
      <c r="Y43" s="112"/>
    </row>
    <row r="44" spans="1:28" x14ac:dyDescent="0.2">
      <c r="A44" s="54"/>
      <c r="B44" s="24" t="s">
        <v>97</v>
      </c>
      <c r="C44" s="24"/>
      <c r="E44" s="76">
        <v>0</v>
      </c>
      <c r="F44" s="76">
        <v>0</v>
      </c>
      <c r="G44" s="28">
        <f>E44*F44</f>
        <v>0</v>
      </c>
      <c r="H44" s="28">
        <f>G44-(G44*0.5132)</f>
        <v>0</v>
      </c>
      <c r="I44" s="42"/>
      <c r="J44" s="76">
        <v>27</v>
      </c>
      <c r="K44" s="76">
        <v>20</v>
      </c>
      <c r="L44" s="28">
        <f>J44*K44</f>
        <v>540</v>
      </c>
      <c r="M44" s="28">
        <f t="shared" si="2"/>
        <v>280.8</v>
      </c>
      <c r="N44" s="42"/>
      <c r="O44" s="76">
        <f>J44-E44</f>
        <v>27</v>
      </c>
      <c r="P44" s="76">
        <f>K44-F44</f>
        <v>20</v>
      </c>
      <c r="Q44" s="28">
        <f>L44-G44</f>
        <v>540</v>
      </c>
      <c r="R44" s="28">
        <f>M44-H44</f>
        <v>280.8</v>
      </c>
      <c r="S44" s="105" t="str">
        <f>IFERROR(R44/H44,"-")</f>
        <v>-</v>
      </c>
      <c r="T44" s="55"/>
      <c r="V44" s="112"/>
      <c r="W44" s="118"/>
      <c r="X44" s="114"/>
      <c r="Y44" s="112"/>
    </row>
    <row r="45" spans="1:28" x14ac:dyDescent="0.2">
      <c r="A45" s="54"/>
      <c r="B45" s="31" t="s">
        <v>39</v>
      </c>
      <c r="C45" s="27"/>
      <c r="E45" s="83"/>
      <c r="F45" s="83"/>
      <c r="G45" s="35">
        <f>G44</f>
        <v>0</v>
      </c>
      <c r="H45" s="36">
        <f>H44</f>
        <v>0</v>
      </c>
      <c r="I45" s="43"/>
      <c r="J45" s="83"/>
      <c r="K45" s="83"/>
      <c r="L45" s="35">
        <f>L44</f>
        <v>540</v>
      </c>
      <c r="M45" s="28">
        <f t="shared" si="2"/>
        <v>280.8</v>
      </c>
      <c r="N45" s="43"/>
      <c r="O45" s="77"/>
      <c r="P45" s="77"/>
      <c r="Q45" s="29">
        <f>Q44</f>
        <v>540</v>
      </c>
      <c r="R45" s="32">
        <f>R44</f>
        <v>280.8</v>
      </c>
      <c r="S45" s="107" t="str">
        <f>IFERROR(R45/H45,"-")</f>
        <v>-</v>
      </c>
      <c r="T45" s="55"/>
      <c r="V45" s="112"/>
      <c r="W45" s="112"/>
      <c r="X45" s="114"/>
      <c r="Y45" s="112"/>
    </row>
    <row r="46" spans="1:28" x14ac:dyDescent="0.2">
      <c r="A46" s="54"/>
      <c r="E46" s="78"/>
      <c r="F46" s="78"/>
      <c r="G46" s="42"/>
      <c r="H46" s="42"/>
      <c r="I46" s="42"/>
      <c r="J46" s="78"/>
      <c r="K46" s="78"/>
      <c r="L46" s="42"/>
      <c r="M46" s="28">
        <f t="shared" si="2"/>
        <v>0</v>
      </c>
      <c r="N46" s="42"/>
      <c r="O46" s="78"/>
      <c r="P46" s="78"/>
      <c r="Q46" s="42"/>
      <c r="R46" s="42"/>
      <c r="S46" s="108"/>
      <c r="T46" s="55"/>
      <c r="V46" s="112"/>
      <c r="W46" s="112"/>
      <c r="X46" s="114"/>
      <c r="Y46" s="112"/>
    </row>
    <row r="47" spans="1:28" x14ac:dyDescent="0.2">
      <c r="A47" s="54"/>
      <c r="B47" s="24" t="s">
        <v>98</v>
      </c>
      <c r="C47" s="24"/>
      <c r="E47" s="76"/>
      <c r="F47" s="76"/>
      <c r="G47" s="28"/>
      <c r="H47" s="28"/>
      <c r="I47" s="42"/>
      <c r="J47" s="76"/>
      <c r="K47" s="76"/>
      <c r="L47" s="28"/>
      <c r="M47" s="28">
        <f t="shared" si="2"/>
        <v>0</v>
      </c>
      <c r="N47" s="42"/>
      <c r="O47" s="79">
        <f t="shared" ref="O47:Q48" si="3">J47-E47</f>
        <v>0</v>
      </c>
      <c r="P47" s="79">
        <f t="shared" si="3"/>
        <v>0</v>
      </c>
      <c r="Q47" s="30">
        <f t="shared" si="3"/>
        <v>0</v>
      </c>
      <c r="R47" s="30">
        <f>H47-M47</f>
        <v>0</v>
      </c>
      <c r="S47" s="106" t="str">
        <f>IFERROR(R47/#REF!,"-")</f>
        <v>-</v>
      </c>
      <c r="T47" s="55"/>
      <c r="V47" s="112"/>
      <c r="W47" s="112"/>
      <c r="X47" s="114"/>
      <c r="Y47" s="112"/>
    </row>
    <row r="48" spans="1:28" x14ac:dyDescent="0.2">
      <c r="A48" s="54"/>
      <c r="B48" s="25" t="s">
        <v>99</v>
      </c>
      <c r="C48" s="25"/>
      <c r="E48" s="79">
        <v>0</v>
      </c>
      <c r="F48" s="79">
        <v>0</v>
      </c>
      <c r="G48" s="30">
        <f>F48</f>
        <v>0</v>
      </c>
      <c r="H48" s="30">
        <f>G48-(G48*0.5132)</f>
        <v>0</v>
      </c>
      <c r="I48" s="42"/>
      <c r="J48" s="79">
        <v>1</v>
      </c>
      <c r="K48" s="79">
        <v>500</v>
      </c>
      <c r="L48" s="30">
        <f>K48</f>
        <v>500</v>
      </c>
      <c r="M48" s="28">
        <f t="shared" si="2"/>
        <v>260</v>
      </c>
      <c r="N48" s="42"/>
      <c r="O48" s="79">
        <f t="shared" si="3"/>
        <v>1</v>
      </c>
      <c r="P48" s="79">
        <f t="shared" si="3"/>
        <v>500</v>
      </c>
      <c r="Q48" s="30">
        <f t="shared" si="3"/>
        <v>500</v>
      </c>
      <c r="R48" s="30">
        <f>H48-M48</f>
        <v>-260</v>
      </c>
      <c r="S48" s="106" t="str">
        <f>IFERROR(R48/#REF!,"-")</f>
        <v>-</v>
      </c>
      <c r="T48" s="55"/>
      <c r="V48" s="112"/>
      <c r="W48" s="112"/>
      <c r="X48" s="112"/>
      <c r="Y48" s="112"/>
    </row>
    <row r="49" spans="1:25" x14ac:dyDescent="0.2">
      <c r="A49" s="54"/>
      <c r="B49" s="31" t="s">
        <v>100</v>
      </c>
      <c r="C49" s="27"/>
      <c r="E49" s="77">
        <f>E48</f>
        <v>0</v>
      </c>
      <c r="F49" s="77">
        <f>F48</f>
        <v>0</v>
      </c>
      <c r="G49" s="29">
        <f>G48</f>
        <v>0</v>
      </c>
      <c r="H49" s="32">
        <f>H48</f>
        <v>0</v>
      </c>
      <c r="I49" s="43"/>
      <c r="J49" s="77">
        <f>J48</f>
        <v>1</v>
      </c>
      <c r="K49" s="77">
        <f>K48</f>
        <v>500</v>
      </c>
      <c r="L49" s="29">
        <f>L48</f>
        <v>500</v>
      </c>
      <c r="M49" s="28">
        <f t="shared" si="2"/>
        <v>260</v>
      </c>
      <c r="N49" s="43"/>
      <c r="O49" s="77"/>
      <c r="P49" s="77"/>
      <c r="Q49" s="29">
        <f>SUM(Q47:Q48)</f>
        <v>500</v>
      </c>
      <c r="R49" s="32">
        <f>SUM(R47:R48)*-1</f>
        <v>260</v>
      </c>
      <c r="S49" s="107" t="str">
        <f>IFERROR(R49/H49,"-")</f>
        <v>-</v>
      </c>
      <c r="T49" s="55"/>
      <c r="V49" s="112"/>
      <c r="W49" s="112"/>
      <c r="X49" s="112"/>
      <c r="Y49" s="112"/>
    </row>
    <row r="50" spans="1:25" x14ac:dyDescent="0.2">
      <c r="A50" s="54"/>
      <c r="E50" s="78"/>
      <c r="F50" s="78"/>
      <c r="G50" s="42"/>
      <c r="H50" s="42"/>
      <c r="I50" s="42"/>
      <c r="J50" s="78"/>
      <c r="K50" s="78"/>
      <c r="L50" s="42"/>
      <c r="M50" s="28">
        <f t="shared" si="2"/>
        <v>0</v>
      </c>
      <c r="N50" s="42"/>
      <c r="O50" s="78"/>
      <c r="P50" s="78"/>
      <c r="Q50" s="42"/>
      <c r="R50" s="42"/>
      <c r="S50" s="108"/>
      <c r="T50" s="55"/>
    </row>
    <row r="51" spans="1:25" x14ac:dyDescent="0.2">
      <c r="A51" s="54"/>
      <c r="B51" s="24" t="s">
        <v>103</v>
      </c>
      <c r="C51" s="24"/>
      <c r="E51" s="76"/>
      <c r="F51" s="76"/>
      <c r="G51" s="28">
        <f>E51*F51</f>
        <v>0</v>
      </c>
      <c r="H51" s="28"/>
      <c r="I51" s="42"/>
      <c r="J51" s="76"/>
      <c r="K51" s="76"/>
      <c r="L51" s="28">
        <f>J51*K51</f>
        <v>0</v>
      </c>
      <c r="M51" s="28">
        <f t="shared" si="2"/>
        <v>0</v>
      </c>
      <c r="N51" s="42"/>
      <c r="O51" s="76">
        <f>J51-E51</f>
        <v>0</v>
      </c>
      <c r="P51" s="76">
        <f>K51-F51</f>
        <v>0</v>
      </c>
      <c r="Q51" s="28">
        <f>L51-G51</f>
        <v>0</v>
      </c>
      <c r="R51" s="28">
        <f>M51-H51</f>
        <v>0</v>
      </c>
      <c r="S51" s="105" t="str">
        <f>IFERROR(R51/H51,"-")</f>
        <v>-</v>
      </c>
      <c r="T51" s="55"/>
    </row>
    <row r="52" spans="1:25" x14ac:dyDescent="0.2">
      <c r="A52" s="54"/>
      <c r="B52" s="31" t="s">
        <v>48</v>
      </c>
      <c r="C52" s="27"/>
      <c r="E52" s="77"/>
      <c r="F52" s="77"/>
      <c r="G52" s="29">
        <f>SUM(G51)</f>
        <v>0</v>
      </c>
      <c r="H52" s="32">
        <f>H51</f>
        <v>0</v>
      </c>
      <c r="I52" s="43"/>
      <c r="J52" s="83"/>
      <c r="K52" s="83"/>
      <c r="L52" s="35">
        <f>L51</f>
        <v>0</v>
      </c>
      <c r="M52" s="28">
        <f t="shared" si="2"/>
        <v>0</v>
      </c>
      <c r="N52" s="43"/>
      <c r="O52" s="77"/>
      <c r="P52" s="77"/>
      <c r="Q52" s="29">
        <f>Q51</f>
        <v>0</v>
      </c>
      <c r="R52" s="32">
        <f>R51</f>
        <v>0</v>
      </c>
      <c r="S52" s="107" t="str">
        <f>IFERROR(R52/H52,"-")</f>
        <v>-</v>
      </c>
      <c r="T52" s="55"/>
    </row>
    <row r="53" spans="1:25" x14ac:dyDescent="0.2">
      <c r="A53" s="54"/>
      <c r="E53" s="78"/>
      <c r="F53" s="78"/>
      <c r="G53" s="42"/>
      <c r="H53" s="42"/>
      <c r="I53" s="42"/>
      <c r="J53" s="78"/>
      <c r="K53" s="78"/>
      <c r="L53" s="42"/>
      <c r="M53" s="28">
        <f t="shared" si="2"/>
        <v>0</v>
      </c>
      <c r="N53" s="42"/>
      <c r="O53" s="78"/>
      <c r="P53" s="78"/>
      <c r="Q53" s="42"/>
      <c r="R53" s="42"/>
      <c r="S53" s="108"/>
      <c r="T53" s="55"/>
    </row>
    <row r="54" spans="1:25" x14ac:dyDescent="0.2">
      <c r="A54" s="54"/>
      <c r="B54" s="24" t="s">
        <v>107</v>
      </c>
      <c r="C54" s="24"/>
      <c r="E54" s="76"/>
      <c r="F54" s="76"/>
      <c r="G54" s="28">
        <f>E54*F54</f>
        <v>0</v>
      </c>
      <c r="H54" s="28"/>
      <c r="I54" s="42"/>
      <c r="J54" s="76"/>
      <c r="K54" s="76"/>
      <c r="L54" s="28">
        <f>J54*K54</f>
        <v>0</v>
      </c>
      <c r="M54" s="28">
        <f t="shared" si="2"/>
        <v>0</v>
      </c>
      <c r="N54" s="42"/>
      <c r="O54" s="76">
        <f>J54-E54</f>
        <v>0</v>
      </c>
      <c r="P54" s="76">
        <f>K54-F54</f>
        <v>0</v>
      </c>
      <c r="Q54" s="28">
        <f>L54-G54</f>
        <v>0</v>
      </c>
      <c r="R54" s="28">
        <f>M54-H54</f>
        <v>0</v>
      </c>
      <c r="S54" s="105" t="str">
        <f>IFERROR(R54/H54,"-")</f>
        <v>-</v>
      </c>
      <c r="T54" s="55"/>
    </row>
    <row r="55" spans="1:25" x14ac:dyDescent="0.2">
      <c r="A55" s="54"/>
      <c r="B55" s="31" t="s">
        <v>107</v>
      </c>
      <c r="C55" s="27"/>
      <c r="E55" s="77"/>
      <c r="F55" s="77"/>
      <c r="G55" s="29">
        <f>SUM(G54)</f>
        <v>0</v>
      </c>
      <c r="H55" s="32">
        <f>H54</f>
        <v>0</v>
      </c>
      <c r="I55" s="43"/>
      <c r="J55" s="83"/>
      <c r="K55" s="83"/>
      <c r="L55" s="35">
        <f>L54</f>
        <v>0</v>
      </c>
      <c r="M55" s="28">
        <f t="shared" si="2"/>
        <v>0</v>
      </c>
      <c r="N55" s="43"/>
      <c r="O55" s="77"/>
      <c r="P55" s="77"/>
      <c r="Q55" s="29">
        <f>Q54</f>
        <v>0</v>
      </c>
      <c r="R55" s="32">
        <f>R54</f>
        <v>0</v>
      </c>
      <c r="S55" s="107" t="str">
        <f>IFERROR(R55/H55,"-")</f>
        <v>-</v>
      </c>
      <c r="T55" s="55"/>
    </row>
    <row r="56" spans="1:25" x14ac:dyDescent="0.2">
      <c r="A56" s="54"/>
      <c r="E56" s="78"/>
      <c r="F56" s="78"/>
      <c r="G56" s="42"/>
      <c r="H56" s="42"/>
      <c r="I56" s="42"/>
      <c r="J56" s="78"/>
      <c r="K56" s="78"/>
      <c r="L56" s="42"/>
      <c r="M56" s="28">
        <f t="shared" si="2"/>
        <v>0</v>
      </c>
      <c r="N56" s="42"/>
      <c r="O56" s="78"/>
      <c r="P56" s="78"/>
      <c r="Q56" s="42"/>
      <c r="R56" s="42"/>
      <c r="S56" s="108"/>
      <c r="T56" s="55"/>
    </row>
    <row r="57" spans="1:25" s="14" customFormat="1" x14ac:dyDescent="0.2">
      <c r="A57" s="62"/>
      <c r="B57" s="69" t="s">
        <v>123</v>
      </c>
      <c r="C57" s="69"/>
      <c r="E57" s="80"/>
      <c r="F57" s="80"/>
      <c r="G57" s="70">
        <f>G38+G42+G45+G49+G52+G55</f>
        <v>0</v>
      </c>
      <c r="H57" s="71">
        <f>H38+H42+H45+H49+H52+H55</f>
        <v>0</v>
      </c>
      <c r="I57" s="43"/>
      <c r="J57" s="80"/>
      <c r="K57" s="80"/>
      <c r="L57" s="70">
        <f>L38+L42+L45+L49+L52+L55</f>
        <v>3510</v>
      </c>
      <c r="M57" s="120">
        <f t="shared" si="2"/>
        <v>1825.2</v>
      </c>
      <c r="N57" s="43"/>
      <c r="O57" s="80"/>
      <c r="P57" s="80"/>
      <c r="Q57" s="70">
        <f>Q38+Q42+Q45+Q49+Q52+Q55</f>
        <v>3510</v>
      </c>
      <c r="R57" s="71">
        <f>R38+R42+R45+R49+R52+R55</f>
        <v>1825.2</v>
      </c>
      <c r="S57" s="109" t="str">
        <f>IFERROR(R57/H57,"-")</f>
        <v>-</v>
      </c>
      <c r="T57" s="63"/>
      <c r="X57" s="98"/>
    </row>
    <row r="58" spans="1:25" ht="2.1" customHeight="1" x14ac:dyDescent="0.2">
      <c r="A58" s="54"/>
      <c r="E58" s="81"/>
      <c r="F58" s="81"/>
      <c r="J58" s="81"/>
      <c r="K58" s="81"/>
      <c r="M58" s="28">
        <f t="shared" si="2"/>
        <v>0</v>
      </c>
      <c r="O58" s="81"/>
      <c r="P58" s="81"/>
      <c r="S58" s="110"/>
      <c r="T58" s="63"/>
      <c r="U58" s="14"/>
    </row>
    <row r="59" spans="1:25" s="14" customFormat="1" x14ac:dyDescent="0.2">
      <c r="A59" s="62"/>
      <c r="B59" s="66" t="s">
        <v>124</v>
      </c>
      <c r="C59" s="66"/>
      <c r="E59" s="82"/>
      <c r="F59" s="82"/>
      <c r="G59" s="67">
        <f>G57*12</f>
        <v>0</v>
      </c>
      <c r="H59" s="68">
        <f>H57*12</f>
        <v>0</v>
      </c>
      <c r="I59" s="43"/>
      <c r="J59" s="82"/>
      <c r="K59" s="82"/>
      <c r="L59" s="67">
        <f>L57*7</f>
        <v>24570</v>
      </c>
      <c r="M59" s="67">
        <f>M57*7</f>
        <v>12776.4</v>
      </c>
      <c r="N59" s="43"/>
      <c r="O59" s="82"/>
      <c r="P59" s="82"/>
      <c r="Q59" s="67">
        <f>Q57*7</f>
        <v>24570</v>
      </c>
      <c r="R59" s="68">
        <f>R57*7</f>
        <v>12776.4</v>
      </c>
      <c r="S59" s="111" t="str">
        <f>IFERROR(R59/H59,"-")</f>
        <v>-</v>
      </c>
      <c r="T59" s="63"/>
    </row>
    <row r="60" spans="1:25" s="37" customFormat="1" x14ac:dyDescent="0.2">
      <c r="A60" s="64"/>
      <c r="B60" s="44" t="s">
        <v>125</v>
      </c>
      <c r="E60" s="45"/>
      <c r="F60" s="45"/>
      <c r="G60" s="45"/>
      <c r="H60" s="104">
        <v>0</v>
      </c>
      <c r="I60" s="45"/>
      <c r="J60" s="45"/>
      <c r="K60" s="45"/>
      <c r="L60" s="45"/>
      <c r="M60" s="104">
        <v>0.48</v>
      </c>
      <c r="N60" s="45"/>
      <c r="O60" s="84"/>
      <c r="P60" s="84"/>
      <c r="Q60" s="45"/>
      <c r="R60" s="46"/>
      <c r="S60" s="45"/>
      <c r="T60" s="65"/>
    </row>
    <row r="61" spans="1:25" x14ac:dyDescent="0.2">
      <c r="A61" s="54"/>
      <c r="T61" s="63"/>
      <c r="U61" s="14"/>
    </row>
    <row r="62" spans="1:25" ht="5.0999999999999996" customHeight="1" x14ac:dyDescent="0.2">
      <c r="A62" s="54"/>
      <c r="T62" s="55"/>
    </row>
    <row r="63" spans="1:25" s="11" customFormat="1" ht="3" customHeight="1" x14ac:dyDescent="0.2">
      <c r="A63" s="60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61"/>
    </row>
    <row r="64" spans="1:25" s="11" customFormat="1" ht="5.0999999999999996" customHeight="1" x14ac:dyDescent="0.2">
      <c r="A64" s="60"/>
      <c r="T64" s="61"/>
    </row>
    <row r="65" spans="1:20" ht="12.75" x14ac:dyDescent="0.2">
      <c r="A65" s="54"/>
      <c r="B65" s="38" t="s">
        <v>122</v>
      </c>
      <c r="T65" s="55"/>
    </row>
    <row r="66" spans="1:20" ht="15" customHeight="1" x14ac:dyDescent="0.2">
      <c r="A66" s="54"/>
      <c r="B66" s="24" t="s">
        <v>156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55"/>
    </row>
    <row r="67" spans="1:20" ht="15" customHeight="1" x14ac:dyDescent="0.2">
      <c r="A67" s="5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55"/>
    </row>
    <row r="68" spans="1:20" ht="15" customHeight="1" x14ac:dyDescent="0.2">
      <c r="A68" s="5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55"/>
    </row>
    <row r="69" spans="1:20" ht="15" customHeight="1" x14ac:dyDescent="0.2">
      <c r="A69" s="5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55"/>
    </row>
    <row r="70" spans="1:20" ht="15" customHeight="1" x14ac:dyDescent="0.2">
      <c r="A70" s="5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55"/>
    </row>
    <row r="71" spans="1:20" ht="5.0999999999999996" customHeight="1" x14ac:dyDescent="0.2">
      <c r="A71" s="54"/>
      <c r="T71" s="55"/>
    </row>
    <row r="72" spans="1:20" s="11" customFormat="1" ht="3" customHeight="1" x14ac:dyDescent="0.2">
      <c r="A72" s="60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61"/>
    </row>
    <row r="73" spans="1:20" s="11" customFormat="1" ht="5.0999999999999996" customHeight="1" x14ac:dyDescent="0.2">
      <c r="A73" s="60"/>
      <c r="T73" s="61"/>
    </row>
    <row r="74" spans="1:20" ht="15" customHeight="1" x14ac:dyDescent="0.2">
      <c r="A74" s="54"/>
      <c r="B74" s="2" t="s">
        <v>120</v>
      </c>
      <c r="T74" s="55"/>
    </row>
    <row r="75" spans="1:20" ht="9.9499999999999993" customHeight="1" x14ac:dyDescent="0.2">
      <c r="A75" s="54"/>
      <c r="T75" s="55"/>
    </row>
    <row r="76" spans="1:20" s="19" customFormat="1" ht="15" customHeight="1" x14ac:dyDescent="0.25">
      <c r="A76" s="58"/>
      <c r="B76" s="39" t="s">
        <v>2</v>
      </c>
      <c r="F76" s="47" t="s">
        <v>3</v>
      </c>
      <c r="G76" s="75"/>
      <c r="I76" s="47" t="s">
        <v>4</v>
      </c>
      <c r="J76" s="124"/>
      <c r="K76" s="124"/>
      <c r="T76" s="59"/>
    </row>
    <row r="77" spans="1:20" ht="9.9499999999999993" customHeight="1" x14ac:dyDescent="0.2">
      <c r="A77" s="54"/>
      <c r="F77" s="48"/>
      <c r="G77" s="49"/>
      <c r="I77" s="48"/>
      <c r="J77" s="48"/>
      <c r="K77" s="49"/>
      <c r="T77" s="55"/>
    </row>
    <row r="78" spans="1:20" s="19" customFormat="1" ht="15" customHeight="1" x14ac:dyDescent="0.25">
      <c r="A78" s="58"/>
      <c r="B78" s="39" t="s">
        <v>5</v>
      </c>
      <c r="F78" s="47" t="s">
        <v>3</v>
      </c>
      <c r="G78" s="75"/>
      <c r="I78" s="47" t="s">
        <v>4</v>
      </c>
      <c r="J78" s="124"/>
      <c r="K78" s="124"/>
      <c r="T78" s="59"/>
    </row>
    <row r="79" spans="1:20" ht="9.9499999999999993" customHeight="1" x14ac:dyDescent="0.2">
      <c r="A79" s="54"/>
      <c r="F79" s="48"/>
      <c r="G79" s="49"/>
      <c r="I79" s="48"/>
      <c r="J79" s="48"/>
      <c r="K79" s="49"/>
      <c r="T79" s="55"/>
    </row>
    <row r="80" spans="1:20" s="19" customFormat="1" ht="15" customHeight="1" x14ac:dyDescent="0.25">
      <c r="A80" s="58"/>
      <c r="B80" s="39" t="s">
        <v>6</v>
      </c>
      <c r="F80" s="47" t="s">
        <v>3</v>
      </c>
      <c r="G80" s="75"/>
      <c r="I80" s="47" t="s">
        <v>4</v>
      </c>
      <c r="J80" s="124"/>
      <c r="K80" s="124"/>
      <c r="M80" s="50" t="s">
        <v>121</v>
      </c>
      <c r="N80" s="130"/>
      <c r="O80" s="130"/>
      <c r="P80" s="130"/>
      <c r="T80" s="59"/>
    </row>
    <row r="81" spans="1:20" ht="9.9499999999999993" customHeight="1" x14ac:dyDescent="0.2">
      <c r="A81" s="54"/>
      <c r="F81" s="48"/>
      <c r="G81" s="49"/>
      <c r="I81" s="48"/>
      <c r="J81" s="48"/>
      <c r="K81" s="49"/>
      <c r="T81" s="55"/>
    </row>
    <row r="82" spans="1:20" s="19" customFormat="1" ht="15" customHeight="1" x14ac:dyDescent="0.25">
      <c r="A82" s="58"/>
      <c r="B82" s="39" t="s">
        <v>151</v>
      </c>
      <c r="F82" s="47" t="s">
        <v>3</v>
      </c>
      <c r="G82" s="75"/>
      <c r="I82" s="47" t="s">
        <v>4</v>
      </c>
      <c r="J82" s="124"/>
      <c r="K82" s="124"/>
      <c r="M82" s="50" t="s">
        <v>152</v>
      </c>
      <c r="N82" s="130"/>
      <c r="O82" s="130"/>
      <c r="P82" s="130"/>
      <c r="T82" s="59"/>
    </row>
    <row r="83" spans="1:20" ht="5.0999999999999996" customHeight="1" x14ac:dyDescent="0.2">
      <c r="A83" s="54"/>
      <c r="T83" s="55"/>
    </row>
    <row r="84" spans="1:20" s="11" customFormat="1" ht="3" customHeight="1" x14ac:dyDescent="0.2">
      <c r="A84" s="60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61"/>
    </row>
    <row r="85" spans="1:20" x14ac:dyDescent="0.2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4"/>
    </row>
  </sheetData>
  <mergeCells count="20">
    <mergeCell ref="J82:K82"/>
    <mergeCell ref="N82:P82"/>
    <mergeCell ref="J78:K78"/>
    <mergeCell ref="J80:K80"/>
    <mergeCell ref="N80:P80"/>
    <mergeCell ref="D32:G32"/>
    <mergeCell ref="J76:K76"/>
    <mergeCell ref="D26:G26"/>
    <mergeCell ref="R26:T26"/>
    <mergeCell ref="N26:P26"/>
    <mergeCell ref="J26:L26"/>
    <mergeCell ref="E34:H34"/>
    <mergeCell ref="J34:M34"/>
    <mergeCell ref="O34:S34"/>
    <mergeCell ref="D7:G7"/>
    <mergeCell ref="R7:S7"/>
    <mergeCell ref="D21:I21"/>
    <mergeCell ref="O21:S21"/>
    <mergeCell ref="G23:I23"/>
    <mergeCell ref="P10:S10"/>
  </mergeCells>
  <dataValidations count="4">
    <dataValidation type="list" allowBlank="1" showInputMessage="1" showErrorMessage="1" sqref="D7:G7" xr:uid="{00000000-0002-0000-0000-000000000000}">
      <formula1>País</formula1>
    </dataValidation>
    <dataValidation type="list" allowBlank="1" showInputMessage="1" showErrorMessage="1" sqref="O21:S21" xr:uid="{00000000-0002-0000-0000-000001000000}">
      <formula1>Producto</formula1>
    </dataValidation>
    <dataValidation type="list" allowBlank="1" showInputMessage="1" showErrorMessage="1" sqref="D26:G26" xr:uid="{00000000-0002-0000-0000-000002000000}">
      <formula1>Vigencia</formula1>
    </dataValidation>
    <dataValidation type="list" allowBlank="1" showInputMessage="1" showErrorMessage="1" sqref="D32:G32" xr:uid="{00000000-0002-0000-0000-000003000000}">
      <formula1>Moneda</formula1>
    </dataValidation>
  </dataValidations>
  <pageMargins left="0.31496062992125984" right="0.23622047244094491" top="0.39370078740157483" bottom="0.39370078740157483" header="0.31496062992125984" footer="0.31496062992125984"/>
  <pageSetup scale="93" orientation="portrait" r:id="rId1"/>
  <colBreaks count="1" manualBreakCount="1">
    <brk id="20" max="1048575" man="1"/>
  </colBreaks>
  <ignoredErrors>
    <ignoredError sqref="Q38:Q39 Q42:Q43 Q45:Q46 Q49:Q50 Q52:Q53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276225</xdr:colOff>
                    <xdr:row>11</xdr:row>
                    <xdr:rowOff>142875</xdr:rowOff>
                  </from>
                  <to>
                    <xdr:col>12</xdr:col>
                    <xdr:colOff>66675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276225</xdr:colOff>
                    <xdr:row>12</xdr:row>
                    <xdr:rowOff>104775</xdr:rowOff>
                  </from>
                  <to>
                    <xdr:col>12</xdr:col>
                    <xdr:colOff>66675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276225</xdr:colOff>
                    <xdr:row>13</xdr:row>
                    <xdr:rowOff>104775</xdr:rowOff>
                  </from>
                  <to>
                    <xdr:col>12</xdr:col>
                    <xdr:colOff>66675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66675</xdr:rowOff>
                  </from>
                  <to>
                    <xdr:col>11</xdr:col>
                    <xdr:colOff>152400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6</xdr:col>
                    <xdr:colOff>133350</xdr:colOff>
                    <xdr:row>74</xdr:row>
                    <xdr:rowOff>114300</xdr:rowOff>
                  </from>
                  <to>
                    <xdr:col>6</xdr:col>
                    <xdr:colOff>438150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133350</xdr:colOff>
                    <xdr:row>76</xdr:row>
                    <xdr:rowOff>114300</xdr:rowOff>
                  </from>
                  <to>
                    <xdr:col>6</xdr:col>
                    <xdr:colOff>438150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133350</xdr:colOff>
                    <xdr:row>78</xdr:row>
                    <xdr:rowOff>114300</xdr:rowOff>
                  </from>
                  <to>
                    <xdr:col>6</xdr:col>
                    <xdr:colOff>438150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9</xdr:col>
                    <xdr:colOff>200025</xdr:colOff>
                    <xdr:row>74</xdr:row>
                    <xdr:rowOff>114300</xdr:rowOff>
                  </from>
                  <to>
                    <xdr:col>10</xdr:col>
                    <xdr:colOff>161925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200025</xdr:colOff>
                    <xdr:row>76</xdr:row>
                    <xdr:rowOff>114300</xdr:rowOff>
                  </from>
                  <to>
                    <xdr:col>10</xdr:col>
                    <xdr:colOff>161925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200025</xdr:colOff>
                    <xdr:row>78</xdr:row>
                    <xdr:rowOff>114300</xdr:rowOff>
                  </from>
                  <to>
                    <xdr:col>10</xdr:col>
                    <xdr:colOff>161925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1</xdr:col>
                    <xdr:colOff>295275</xdr:colOff>
                    <xdr:row>10</xdr:row>
                    <xdr:rowOff>66675</xdr:rowOff>
                  </from>
                  <to>
                    <xdr:col>2</xdr:col>
                    <xdr:colOff>123825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6</xdr:col>
                    <xdr:colOff>133350</xdr:colOff>
                    <xdr:row>80</xdr:row>
                    <xdr:rowOff>114300</xdr:rowOff>
                  </from>
                  <to>
                    <xdr:col>6</xdr:col>
                    <xdr:colOff>438150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9</xdr:col>
                    <xdr:colOff>200025</xdr:colOff>
                    <xdr:row>80</xdr:row>
                    <xdr:rowOff>114300</xdr:rowOff>
                  </from>
                  <to>
                    <xdr:col>10</xdr:col>
                    <xdr:colOff>161925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Check Box 20">
              <controlPr defaultSize="0" autoFill="0" autoLine="0" autoPict="0">
                <anchor moveWithCells="1">
                  <from>
                    <xdr:col>14</xdr:col>
                    <xdr:colOff>114300</xdr:colOff>
                    <xdr:row>21</xdr:row>
                    <xdr:rowOff>76200</xdr:rowOff>
                  </from>
                  <to>
                    <xdr:col>15</xdr:col>
                    <xdr:colOff>152400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8" name="Check Box 21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133350</xdr:rowOff>
                  </from>
                  <to>
                    <xdr:col>15</xdr:col>
                    <xdr:colOff>152400</xdr:colOff>
                    <xdr:row>24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77"/>
  <sheetViews>
    <sheetView topLeftCell="A16" zoomScaleNormal="100" workbookViewId="0">
      <selection activeCell="C21" sqref="C21:F21"/>
    </sheetView>
  </sheetViews>
  <sheetFormatPr baseColWidth="10" defaultColWidth="11.42578125" defaultRowHeight="12" x14ac:dyDescent="0.2"/>
  <cols>
    <col min="1" max="1" width="1.5703125" style="13" customWidth="1"/>
    <col min="2" max="2" width="8.140625" style="13" customWidth="1"/>
    <col min="3" max="3" width="10" style="13" customWidth="1"/>
    <col min="4" max="4" width="1.7109375" style="13" customWidth="1"/>
    <col min="5" max="5" width="9.7109375" style="13" customWidth="1"/>
    <col min="6" max="6" width="8.85546875" style="13" customWidth="1"/>
    <col min="7" max="7" width="3.140625" style="13" customWidth="1"/>
    <col min="8" max="8" width="9.5703125" style="13" customWidth="1"/>
    <col min="9" max="9" width="11.140625" style="13" customWidth="1"/>
    <col min="10" max="10" width="2.7109375" style="13" customWidth="1"/>
    <col min="11" max="11" width="11.28515625" style="13" customWidth="1"/>
    <col min="12" max="12" width="14.140625" style="13" customWidth="1"/>
    <col min="13" max="13" width="7.85546875" style="13" customWidth="1"/>
    <col min="14" max="14" width="0.85546875" style="13" customWidth="1"/>
    <col min="15" max="16384" width="11.42578125" style="13"/>
  </cols>
  <sheetData>
    <row r="1" spans="1:14" ht="5.0999999999999996" customHeight="1" x14ac:dyDescent="0.2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9.9499999999999993" customHeight="1" x14ac:dyDescent="0.2">
      <c r="A2" s="54"/>
      <c r="N2" s="55"/>
    </row>
    <row r="3" spans="1:14" ht="9.9499999999999993" customHeight="1" x14ac:dyDescent="0.2">
      <c r="A3" s="54"/>
      <c r="N3" s="55"/>
    </row>
    <row r="4" spans="1:14" ht="9.9499999999999993" customHeight="1" x14ac:dyDescent="0.2">
      <c r="A4" s="54"/>
      <c r="N4" s="55"/>
    </row>
    <row r="5" spans="1:14" s="1" customFormat="1" ht="26.25" x14ac:dyDescent="0.4">
      <c r="A5" s="56"/>
      <c r="B5" s="5" t="s">
        <v>7</v>
      </c>
      <c r="C5" s="5"/>
      <c r="D5" s="6"/>
      <c r="E5" s="6"/>
      <c r="F5" s="6"/>
      <c r="G5" s="6"/>
      <c r="H5" s="6"/>
      <c r="I5" s="6"/>
      <c r="N5" s="57"/>
    </row>
    <row r="6" spans="1:14" s="1" customFormat="1" ht="15" x14ac:dyDescent="0.25">
      <c r="A6" s="56"/>
      <c r="N6" s="57"/>
    </row>
    <row r="7" spans="1:14" s="19" customFormat="1" ht="15" customHeight="1" x14ac:dyDescent="0.25">
      <c r="A7" s="58"/>
      <c r="B7" s="2" t="s">
        <v>134</v>
      </c>
      <c r="C7" s="121" t="str">
        <f>INDEX('ABM Prescription Audits'!D7:G7,1,1)</f>
        <v>Bolivia</v>
      </c>
      <c r="D7" s="121"/>
      <c r="E7" s="121"/>
      <c r="K7" s="85" t="s">
        <v>136</v>
      </c>
      <c r="L7" s="122">
        <f>INDEX('ABM Prescription Audits'!R7:S7,1,1)</f>
        <v>45825</v>
      </c>
      <c r="M7" s="122"/>
      <c r="N7" s="59"/>
    </row>
    <row r="8" spans="1:14" s="1" customFormat="1" ht="5.0999999999999996" customHeight="1" x14ac:dyDescent="0.25">
      <c r="A8" s="56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7"/>
    </row>
    <row r="9" spans="1:14" s="1" customFormat="1" ht="5.0999999999999996" customHeight="1" x14ac:dyDescent="0.25">
      <c r="A9" s="56"/>
      <c r="N9" s="57"/>
    </row>
    <row r="10" spans="1:14" s="19" customFormat="1" ht="15" customHeight="1" x14ac:dyDescent="0.25">
      <c r="A10" s="58"/>
      <c r="B10" s="2" t="s">
        <v>135</v>
      </c>
      <c r="H10" s="39" t="s">
        <v>129</v>
      </c>
      <c r="K10" s="121" t="str">
        <f>INDEX('ABM Prescription Audits'!P10:S10,1,1)</f>
        <v>RONALD CARDOZO</v>
      </c>
      <c r="L10" s="121"/>
      <c r="M10" s="121"/>
      <c r="N10" s="59"/>
    </row>
    <row r="11" spans="1:14" ht="9.9499999999999993" customHeight="1" x14ac:dyDescent="0.2">
      <c r="A11" s="54"/>
      <c r="N11" s="55"/>
    </row>
    <row r="12" spans="1:14" s="19" customFormat="1" ht="15" customHeight="1" x14ac:dyDescent="0.2">
      <c r="A12" s="58"/>
      <c r="B12" s="13"/>
      <c r="C12" s="39" t="s">
        <v>137</v>
      </c>
      <c r="H12" s="39" t="s">
        <v>138</v>
      </c>
      <c r="I12" s="39"/>
      <c r="K12" s="39"/>
      <c r="N12" s="59"/>
    </row>
    <row r="13" spans="1:14" x14ac:dyDescent="0.2">
      <c r="A13" s="54"/>
      <c r="I13" s="40" t="s">
        <v>139</v>
      </c>
      <c r="J13" s="40"/>
      <c r="N13" s="55"/>
    </row>
    <row r="14" spans="1:14" x14ac:dyDescent="0.2">
      <c r="A14" s="54"/>
      <c r="I14" s="40" t="s">
        <v>140</v>
      </c>
      <c r="J14" s="40"/>
      <c r="N14" s="55"/>
    </row>
    <row r="15" spans="1:14" x14ac:dyDescent="0.2">
      <c r="A15" s="54"/>
      <c r="I15" s="40" t="s">
        <v>141</v>
      </c>
      <c r="J15" s="40"/>
      <c r="N15" s="55"/>
    </row>
    <row r="16" spans="1:14" ht="5.0999999999999996" customHeight="1" x14ac:dyDescent="0.2">
      <c r="A16" s="54"/>
      <c r="N16" s="55"/>
    </row>
    <row r="17" spans="1:14" s="11" customFormat="1" ht="3" customHeight="1" x14ac:dyDescent="0.2">
      <c r="A17" s="6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61"/>
    </row>
    <row r="18" spans="1:14" s="11" customFormat="1" ht="5.0999999999999996" customHeight="1" x14ac:dyDescent="0.2">
      <c r="A18" s="60"/>
      <c r="N18" s="61"/>
    </row>
    <row r="19" spans="1:14" ht="15" customHeight="1" x14ac:dyDescent="0.2">
      <c r="A19" s="54"/>
      <c r="B19" s="2" t="s">
        <v>144</v>
      </c>
      <c r="N19" s="55"/>
    </row>
    <row r="20" spans="1:14" ht="9.9499999999999993" customHeight="1" x14ac:dyDescent="0.2">
      <c r="A20" s="54"/>
      <c r="N20" s="55"/>
    </row>
    <row r="21" spans="1:14" s="19" customFormat="1" ht="15" customHeight="1" x14ac:dyDescent="0.25">
      <c r="A21" s="58"/>
      <c r="B21" s="39" t="s">
        <v>131</v>
      </c>
      <c r="C21" s="121" t="s">
        <v>155</v>
      </c>
      <c r="D21" s="121"/>
      <c r="E21" s="121"/>
      <c r="F21" s="121"/>
      <c r="G21" s="39"/>
      <c r="H21" s="39"/>
      <c r="I21" s="39" t="s">
        <v>130</v>
      </c>
      <c r="K21" s="121" t="str">
        <f>INDEX('ABM Prescription Audits'!O21:S21,1,1)</f>
        <v>Close-Up Analyzer</v>
      </c>
      <c r="L21" s="121"/>
      <c r="M21" s="121"/>
      <c r="N21" s="59"/>
    </row>
    <row r="22" spans="1:14" ht="9.9499999999999993" customHeight="1" x14ac:dyDescent="0.2">
      <c r="A22" s="54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55"/>
    </row>
    <row r="23" spans="1:14" s="19" customFormat="1" ht="15" customHeight="1" thickBot="1" x14ac:dyDescent="0.3">
      <c r="A23" s="58"/>
      <c r="B23" s="3" t="s">
        <v>132</v>
      </c>
      <c r="D23" s="133">
        <f>INDEX('ABM Prescription Audits'!G23:I23,1,1)</f>
        <v>45786</v>
      </c>
      <c r="E23" s="133"/>
      <c r="F23" s="133"/>
      <c r="I23" s="39" t="s">
        <v>142</v>
      </c>
      <c r="K23" s="131" t="s">
        <v>52</v>
      </c>
      <c r="L23" s="131"/>
      <c r="M23" s="131"/>
      <c r="N23" s="59"/>
    </row>
    <row r="24" spans="1:14" ht="15" customHeight="1" x14ac:dyDescent="0.2">
      <c r="A24" s="54"/>
      <c r="B24" s="19"/>
      <c r="C24" s="19"/>
      <c r="D24" s="19"/>
      <c r="E24" s="19"/>
      <c r="F24" s="19"/>
      <c r="G24" s="19"/>
      <c r="H24" s="19"/>
      <c r="I24" s="19"/>
      <c r="J24" s="19"/>
      <c r="K24" s="134" t="s">
        <v>53</v>
      </c>
      <c r="L24" s="134"/>
      <c r="M24" s="134"/>
      <c r="N24" s="55"/>
    </row>
    <row r="25" spans="1:14" ht="9.9499999999999993" customHeight="1" x14ac:dyDescent="0.2">
      <c r="A25" s="5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55"/>
    </row>
    <row r="26" spans="1:14" ht="15" customHeight="1" x14ac:dyDescent="0.2">
      <c r="A26" s="54"/>
      <c r="B26" s="39" t="s">
        <v>133</v>
      </c>
      <c r="C26" s="132" t="s">
        <v>68</v>
      </c>
      <c r="D26" s="121"/>
      <c r="E26" s="121"/>
      <c r="F26" s="88"/>
      <c r="G26" s="88" t="s">
        <v>143</v>
      </c>
      <c r="H26" s="89" t="s">
        <v>57</v>
      </c>
      <c r="I26" s="132">
        <f>INDEX('ABM Prescription Audits'!N26:P26,1,1)</f>
        <v>45809</v>
      </c>
      <c r="J26" s="132"/>
      <c r="K26" s="89" t="s">
        <v>58</v>
      </c>
      <c r="L26" s="132">
        <v>46022</v>
      </c>
      <c r="M26" s="132"/>
      <c r="N26" s="55"/>
    </row>
    <row r="27" spans="1:14" ht="5.0999999999999996" customHeight="1" x14ac:dyDescent="0.2">
      <c r="A27" s="54"/>
      <c r="N27" s="55"/>
    </row>
    <row r="28" spans="1:14" s="11" customFormat="1" ht="3" customHeight="1" x14ac:dyDescent="0.2">
      <c r="A28" s="6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61"/>
    </row>
    <row r="29" spans="1:14" s="11" customFormat="1" ht="5.0999999999999996" customHeight="1" x14ac:dyDescent="0.2">
      <c r="A29" s="60"/>
      <c r="N29" s="61"/>
    </row>
    <row r="30" spans="1:14" ht="12.75" x14ac:dyDescent="0.2">
      <c r="A30" s="54"/>
      <c r="B30" s="2" t="s">
        <v>145</v>
      </c>
      <c r="N30" s="55"/>
    </row>
    <row r="31" spans="1:14" ht="9.9499999999999993" customHeight="1" x14ac:dyDescent="0.2">
      <c r="A31" s="54"/>
      <c r="N31" s="55"/>
    </row>
    <row r="32" spans="1:14" ht="15" customHeight="1" x14ac:dyDescent="0.2">
      <c r="A32" s="54"/>
      <c r="B32" s="39" t="s">
        <v>146</v>
      </c>
      <c r="C32" s="121" t="str">
        <f>INDEX('ABM Prescription Audits'!D32:G313,1,1)</f>
        <v>Dólar</v>
      </c>
      <c r="D32" s="121"/>
      <c r="N32" s="55"/>
    </row>
    <row r="33" spans="1:14" x14ac:dyDescent="0.2">
      <c r="A33" s="54"/>
      <c r="N33" s="55"/>
    </row>
    <row r="34" spans="1:14" ht="14.25" customHeight="1" x14ac:dyDescent="0.2">
      <c r="A34" s="54"/>
      <c r="E34" s="127" t="s">
        <v>108</v>
      </c>
      <c r="F34" s="129"/>
      <c r="H34" s="127" t="s">
        <v>101</v>
      </c>
      <c r="I34" s="129"/>
      <c r="K34" s="127" t="s">
        <v>0</v>
      </c>
      <c r="L34" s="128"/>
      <c r="M34" s="129"/>
      <c r="N34" s="55"/>
    </row>
    <row r="35" spans="1:14" ht="24" x14ac:dyDescent="0.2">
      <c r="A35" s="54"/>
      <c r="E35" s="21" t="s">
        <v>104</v>
      </c>
      <c r="F35" s="22" t="s">
        <v>128</v>
      </c>
      <c r="H35" s="21" t="s">
        <v>104</v>
      </c>
      <c r="I35" s="22" t="s">
        <v>128</v>
      </c>
      <c r="K35" s="21" t="s">
        <v>104</v>
      </c>
      <c r="L35" s="22" t="s">
        <v>128</v>
      </c>
      <c r="M35" s="33" t="s">
        <v>1</v>
      </c>
      <c r="N35" s="55"/>
    </row>
    <row r="36" spans="1:14" x14ac:dyDescent="0.2">
      <c r="A36" s="54"/>
      <c r="N36" s="55"/>
    </row>
    <row r="37" spans="1:14" x14ac:dyDescent="0.2">
      <c r="A37" s="54"/>
      <c r="B37" s="26" t="s">
        <v>37</v>
      </c>
      <c r="C37" s="27"/>
      <c r="E37" s="77">
        <f>'ABM Prescription Audits'!G38</f>
        <v>0</v>
      </c>
      <c r="F37" s="32">
        <f>'ABM Prescription Audits'!H38</f>
        <v>0</v>
      </c>
      <c r="G37" s="43"/>
      <c r="H37" s="77">
        <f>'ABM Prescription Audits'!L38</f>
        <v>0</v>
      </c>
      <c r="I37" s="32">
        <f>'ABM Prescription Audits'!M38</f>
        <v>0</v>
      </c>
      <c r="J37" s="43"/>
      <c r="K37" s="77">
        <f>'ABM Prescription Audits'!Q38</f>
        <v>0</v>
      </c>
      <c r="L37" s="32">
        <f>'ABM Prescription Audits'!R38</f>
        <v>0</v>
      </c>
      <c r="M37" s="92" t="str">
        <f>IFERROR(L37/F37,"-")</f>
        <v>-</v>
      </c>
      <c r="N37" s="55"/>
    </row>
    <row r="38" spans="1:14" x14ac:dyDescent="0.2">
      <c r="A38" s="54"/>
      <c r="E38" s="78"/>
      <c r="F38" s="42"/>
      <c r="G38" s="42"/>
      <c r="H38" s="78"/>
      <c r="I38" s="42"/>
      <c r="J38" s="42"/>
      <c r="K38" s="78"/>
      <c r="L38" s="42"/>
      <c r="M38" s="93"/>
      <c r="N38" s="55"/>
    </row>
    <row r="39" spans="1:14" x14ac:dyDescent="0.2">
      <c r="A39" s="54"/>
      <c r="B39" s="31" t="s">
        <v>38</v>
      </c>
      <c r="C39" s="27"/>
      <c r="E39" s="77">
        <f>'ABM Prescription Audits'!G42</f>
        <v>0</v>
      </c>
      <c r="F39" s="32">
        <f>'ABM Prescription Audits'!H42</f>
        <v>0</v>
      </c>
      <c r="G39" s="43"/>
      <c r="H39" s="77">
        <f>'ABM Prescription Audits'!L42</f>
        <v>2470</v>
      </c>
      <c r="I39" s="32">
        <f>'ABM Prescription Audits'!M42</f>
        <v>1284.4000000000001</v>
      </c>
      <c r="J39" s="43"/>
      <c r="K39" s="77">
        <f>'ABM Prescription Audits'!Q42</f>
        <v>2470</v>
      </c>
      <c r="L39" s="32">
        <f>'ABM Prescription Audits'!R42</f>
        <v>1284.4000000000001</v>
      </c>
      <c r="M39" s="92" t="str">
        <f>IFERROR(L39/F39,"-")</f>
        <v>-</v>
      </c>
      <c r="N39" s="55"/>
    </row>
    <row r="40" spans="1:14" x14ac:dyDescent="0.2">
      <c r="A40" s="54"/>
      <c r="E40" s="78"/>
      <c r="F40" s="42"/>
      <c r="G40" s="42"/>
      <c r="H40" s="78"/>
      <c r="I40" s="42"/>
      <c r="J40" s="42"/>
      <c r="K40" s="78"/>
      <c r="L40" s="42"/>
      <c r="M40" s="93"/>
      <c r="N40" s="55"/>
    </row>
    <row r="41" spans="1:14" x14ac:dyDescent="0.2">
      <c r="A41" s="54"/>
      <c r="B41" s="31" t="s">
        <v>39</v>
      </c>
      <c r="C41" s="27"/>
      <c r="E41" s="77">
        <f>'ABM Prescription Audits'!G45</f>
        <v>0</v>
      </c>
      <c r="F41" s="32">
        <f>'ABM Prescription Audits'!H45</f>
        <v>0</v>
      </c>
      <c r="G41" s="43"/>
      <c r="H41" s="77">
        <f>'ABM Prescription Audits'!L45</f>
        <v>540</v>
      </c>
      <c r="I41" s="32">
        <f>'ABM Prescription Audits'!M45</f>
        <v>280.8</v>
      </c>
      <c r="J41" s="43"/>
      <c r="K41" s="77">
        <f>'ABM Prescription Audits'!Q45</f>
        <v>540</v>
      </c>
      <c r="L41" s="32">
        <f>'ABM Prescription Audits'!R45</f>
        <v>280.8</v>
      </c>
      <c r="M41" s="92" t="str">
        <f>IFERROR(L41/F41,"-")</f>
        <v>-</v>
      </c>
      <c r="N41" s="55"/>
    </row>
    <row r="42" spans="1:14" x14ac:dyDescent="0.2">
      <c r="A42" s="54"/>
      <c r="E42" s="78"/>
      <c r="F42" s="42"/>
      <c r="G42" s="42"/>
      <c r="H42" s="78"/>
      <c r="I42" s="42"/>
      <c r="J42" s="42"/>
      <c r="K42" s="78"/>
      <c r="L42" s="42"/>
      <c r="M42" s="93"/>
      <c r="N42" s="55"/>
    </row>
    <row r="43" spans="1:14" x14ac:dyDescent="0.2">
      <c r="A43" s="54"/>
      <c r="B43" s="31" t="s">
        <v>100</v>
      </c>
      <c r="C43" s="27"/>
      <c r="E43" s="77">
        <f>'ABM Prescription Audits'!G49</f>
        <v>0</v>
      </c>
      <c r="F43" s="32">
        <f>'ABM Prescription Audits'!H49</f>
        <v>0</v>
      </c>
      <c r="G43" s="43"/>
      <c r="H43" s="77">
        <f>'ABM Prescription Audits'!L49</f>
        <v>500</v>
      </c>
      <c r="I43" s="32">
        <f>'ABM Prescription Audits'!M49</f>
        <v>260</v>
      </c>
      <c r="J43" s="43"/>
      <c r="K43" s="77">
        <f>'ABM Prescription Audits'!Q49</f>
        <v>500</v>
      </c>
      <c r="L43" s="32">
        <f>'ABM Prescription Audits'!R49</f>
        <v>260</v>
      </c>
      <c r="M43" s="92" t="str">
        <f>IFERROR(L43/F43,"-")</f>
        <v>-</v>
      </c>
      <c r="N43" s="55"/>
    </row>
    <row r="44" spans="1:14" x14ac:dyDescent="0.2">
      <c r="A44" s="54"/>
      <c r="E44" s="78"/>
      <c r="F44" s="42"/>
      <c r="G44" s="42"/>
      <c r="H44" s="78"/>
      <c r="I44" s="42"/>
      <c r="J44" s="42"/>
      <c r="K44" s="78"/>
      <c r="L44" s="42"/>
      <c r="M44" s="93"/>
      <c r="N44" s="55"/>
    </row>
    <row r="45" spans="1:14" x14ac:dyDescent="0.2">
      <c r="A45" s="54"/>
      <c r="B45" s="31" t="s">
        <v>48</v>
      </c>
      <c r="C45" s="27"/>
      <c r="E45" s="77">
        <f>'ABM Prescription Audits'!G52</f>
        <v>0</v>
      </c>
      <c r="F45" s="32">
        <f>'ABM Prescription Audits'!H52</f>
        <v>0</v>
      </c>
      <c r="G45" s="43"/>
      <c r="H45" s="77">
        <f>'ABM Prescription Audits'!L52</f>
        <v>0</v>
      </c>
      <c r="I45" s="32">
        <f>'ABM Prescription Audits'!M52</f>
        <v>0</v>
      </c>
      <c r="J45" s="43"/>
      <c r="K45" s="77">
        <f>'ABM Prescription Audits'!Q52</f>
        <v>0</v>
      </c>
      <c r="L45" s="32">
        <f>'ABM Prescription Audits'!R52</f>
        <v>0</v>
      </c>
      <c r="M45" s="92" t="str">
        <f>IFERROR(L45/F45,"-")</f>
        <v>-</v>
      </c>
      <c r="N45" s="55"/>
    </row>
    <row r="46" spans="1:14" x14ac:dyDescent="0.2">
      <c r="A46" s="54"/>
      <c r="E46" s="78"/>
      <c r="F46" s="42"/>
      <c r="G46" s="42"/>
      <c r="H46" s="78"/>
      <c r="I46" s="42"/>
      <c r="J46" s="42"/>
      <c r="K46" s="78"/>
      <c r="L46" s="42"/>
      <c r="M46" s="93"/>
      <c r="N46" s="55"/>
    </row>
    <row r="47" spans="1:14" x14ac:dyDescent="0.2">
      <c r="A47" s="54"/>
      <c r="B47" s="31" t="s">
        <v>107</v>
      </c>
      <c r="C47" s="27"/>
      <c r="E47" s="77">
        <f>'ABM Prescription Audits'!G55</f>
        <v>0</v>
      </c>
      <c r="F47" s="32">
        <f>'ABM Prescription Audits'!H55</f>
        <v>0</v>
      </c>
      <c r="G47" s="43"/>
      <c r="H47" s="77">
        <f>'ABM Prescription Audits'!L55</f>
        <v>0</v>
      </c>
      <c r="I47" s="32">
        <f>'ABM Prescription Audits'!M55</f>
        <v>0</v>
      </c>
      <c r="J47" s="43"/>
      <c r="K47" s="77">
        <f>'ABM Prescription Audits'!Q55</f>
        <v>0</v>
      </c>
      <c r="L47" s="32">
        <f>'ABM Prescription Audits'!R55</f>
        <v>0</v>
      </c>
      <c r="M47" s="92" t="str">
        <f>IFERROR(L47/F47,"-")</f>
        <v>-</v>
      </c>
      <c r="N47" s="55"/>
    </row>
    <row r="48" spans="1:14" x14ac:dyDescent="0.2">
      <c r="A48" s="54"/>
      <c r="E48" s="78"/>
      <c r="F48" s="42"/>
      <c r="G48" s="42"/>
      <c r="H48" s="78"/>
      <c r="I48" s="42"/>
      <c r="J48" s="42"/>
      <c r="K48" s="78"/>
      <c r="L48" s="42"/>
      <c r="M48" s="93"/>
      <c r="N48" s="55"/>
    </row>
    <row r="49" spans="1:15" s="14" customFormat="1" x14ac:dyDescent="0.2">
      <c r="A49" s="62"/>
      <c r="B49" s="69" t="s">
        <v>123</v>
      </c>
      <c r="C49" s="69"/>
      <c r="E49" s="80">
        <f>E37+E39+E41+E43+E45+E47</f>
        <v>0</v>
      </c>
      <c r="F49" s="71">
        <f>F37+F39+F41+F43+F45+F47</f>
        <v>0</v>
      </c>
      <c r="G49" s="43"/>
      <c r="H49" s="80">
        <f>H37+H39+H41+H43+H45+H47</f>
        <v>3510</v>
      </c>
      <c r="I49" s="71">
        <f>I37+I39+I41+I43+I45+I47</f>
        <v>1825.2</v>
      </c>
      <c r="J49" s="43"/>
      <c r="K49" s="80">
        <f>K37+K39+K41+K43+K45+K47</f>
        <v>3510</v>
      </c>
      <c r="L49" s="71">
        <f>L37+L39+L41+L43+L45+L47</f>
        <v>1825.2</v>
      </c>
      <c r="M49" s="115" t="str">
        <f>IFERROR(L49/F49,"-")</f>
        <v>-</v>
      </c>
      <c r="N49" s="63"/>
    </row>
    <row r="50" spans="1:15" ht="2.1" customHeight="1" x14ac:dyDescent="0.2">
      <c r="A50" s="54"/>
      <c r="E50" s="81"/>
      <c r="H50" s="81"/>
      <c r="K50" s="81"/>
      <c r="M50" s="116"/>
      <c r="N50" s="63"/>
      <c r="O50" s="14"/>
    </row>
    <row r="51" spans="1:15" s="14" customFormat="1" x14ac:dyDescent="0.2">
      <c r="A51" s="62"/>
      <c r="B51" s="66" t="s">
        <v>124</v>
      </c>
      <c r="C51" s="66"/>
      <c r="E51" s="82">
        <f>E49*12</f>
        <v>0</v>
      </c>
      <c r="F51" s="68">
        <f>F49*12</f>
        <v>0</v>
      </c>
      <c r="G51" s="43"/>
      <c r="H51" s="82">
        <f>H49*7</f>
        <v>24570</v>
      </c>
      <c r="I51" s="68">
        <f>I49*7</f>
        <v>12776.4</v>
      </c>
      <c r="J51" s="43"/>
      <c r="K51" s="82">
        <f>K49*7</f>
        <v>24570</v>
      </c>
      <c r="L51" s="68">
        <f>L49*7</f>
        <v>12776.4</v>
      </c>
      <c r="M51" s="117" t="str">
        <f>IFERROR(L51/F51,"-")</f>
        <v>-</v>
      </c>
      <c r="N51" s="63"/>
    </row>
    <row r="52" spans="1:15" s="37" customFormat="1" x14ac:dyDescent="0.2">
      <c r="A52" s="64"/>
      <c r="B52" s="44" t="s">
        <v>125</v>
      </c>
      <c r="E52" s="45"/>
      <c r="F52" s="101">
        <f>IFERROR(F49/E49-1,0)</f>
        <v>0</v>
      </c>
      <c r="G52" s="45"/>
      <c r="H52" s="45"/>
      <c r="I52" s="101">
        <f>IFERROR(I49/H49-1,0)</f>
        <v>-0.48</v>
      </c>
      <c r="J52" s="45"/>
      <c r="K52" s="84"/>
      <c r="L52" s="46"/>
      <c r="M52" s="45"/>
      <c r="N52" s="65"/>
    </row>
    <row r="53" spans="1:15" x14ac:dyDescent="0.2">
      <c r="A53" s="54"/>
      <c r="N53" s="63"/>
      <c r="O53" s="14"/>
    </row>
    <row r="54" spans="1:15" ht="5.0999999999999996" customHeight="1" x14ac:dyDescent="0.2">
      <c r="A54" s="54"/>
      <c r="N54" s="55"/>
    </row>
    <row r="55" spans="1:15" s="11" customFormat="1" ht="3" customHeight="1" x14ac:dyDescent="0.2">
      <c r="A55" s="60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61"/>
    </row>
    <row r="56" spans="1:15" s="11" customFormat="1" ht="5.0999999999999996" customHeight="1" x14ac:dyDescent="0.2">
      <c r="A56" s="60"/>
      <c r="N56" s="61"/>
    </row>
    <row r="57" spans="1:15" ht="12.75" x14ac:dyDescent="0.2">
      <c r="A57" s="54"/>
      <c r="B57" s="38" t="s">
        <v>147</v>
      </c>
      <c r="N57" s="55"/>
    </row>
    <row r="58" spans="1:15" ht="15" customHeight="1" x14ac:dyDescent="0.2">
      <c r="A58" s="54"/>
      <c r="B58" s="119" t="str">
        <f>'ABM Prescription Audits'!B66</f>
        <v>NUEVO CONTRATO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55"/>
    </row>
    <row r="59" spans="1:15" ht="15" customHeight="1" x14ac:dyDescent="0.2">
      <c r="A59" s="54"/>
      <c r="B59" s="99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55"/>
    </row>
    <row r="60" spans="1:15" ht="15" customHeight="1" x14ac:dyDescent="0.2">
      <c r="A60" s="54"/>
      <c r="B60" s="100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55"/>
    </row>
    <row r="61" spans="1:15" ht="15" customHeight="1" x14ac:dyDescent="0.2">
      <c r="A61" s="54"/>
      <c r="B61" s="90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55"/>
    </row>
    <row r="62" spans="1:15" ht="15" customHeight="1" x14ac:dyDescent="0.2">
      <c r="A62" s="54"/>
      <c r="B62" s="90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55"/>
    </row>
    <row r="63" spans="1:15" ht="5.0999999999999996" customHeight="1" x14ac:dyDescent="0.2">
      <c r="A63" s="54"/>
      <c r="N63" s="55"/>
    </row>
    <row r="64" spans="1:15" s="11" customFormat="1" ht="3" customHeight="1" x14ac:dyDescent="0.2">
      <c r="A64" s="6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61"/>
    </row>
    <row r="65" spans="1:14" s="11" customFormat="1" ht="5.0999999999999996" customHeight="1" x14ac:dyDescent="0.2">
      <c r="A65" s="60"/>
      <c r="N65" s="61"/>
    </row>
    <row r="66" spans="1:14" ht="15" customHeight="1" x14ac:dyDescent="0.2">
      <c r="A66" s="54"/>
      <c r="B66" s="38" t="s">
        <v>148</v>
      </c>
      <c r="N66" s="55"/>
    </row>
    <row r="67" spans="1:14" ht="9.9499999999999993" customHeight="1" x14ac:dyDescent="0.2">
      <c r="A67" s="54"/>
      <c r="N67" s="55"/>
    </row>
    <row r="68" spans="1:14" s="19" customFormat="1" ht="15" customHeight="1" x14ac:dyDescent="0.25">
      <c r="A68" s="58"/>
      <c r="B68" s="39" t="s">
        <v>2</v>
      </c>
      <c r="F68" s="19" t="s">
        <v>149</v>
      </c>
      <c r="G68" s="47"/>
      <c r="H68" s="86" t="s">
        <v>150</v>
      </c>
      <c r="N68" s="59"/>
    </row>
    <row r="69" spans="1:14" ht="9.9499999999999993" customHeight="1" x14ac:dyDescent="0.2">
      <c r="A69" s="54"/>
      <c r="G69" s="48"/>
      <c r="H69" s="48"/>
      <c r="N69" s="55"/>
    </row>
    <row r="70" spans="1:14" s="19" customFormat="1" ht="15" customHeight="1" x14ac:dyDescent="0.25">
      <c r="A70" s="58"/>
      <c r="B70" s="39" t="s">
        <v>5</v>
      </c>
      <c r="F70" s="19" t="s">
        <v>149</v>
      </c>
      <c r="G70" s="47"/>
      <c r="H70" s="19" t="s">
        <v>150</v>
      </c>
      <c r="N70" s="59"/>
    </row>
    <row r="71" spans="1:14" ht="9.9499999999999993" customHeight="1" x14ac:dyDescent="0.2">
      <c r="A71" s="54"/>
      <c r="G71" s="48"/>
      <c r="H71" s="48"/>
      <c r="N71" s="55"/>
    </row>
    <row r="72" spans="1:14" s="19" customFormat="1" ht="15" customHeight="1" x14ac:dyDescent="0.25">
      <c r="A72" s="58"/>
      <c r="B72" s="39" t="s">
        <v>6</v>
      </c>
      <c r="F72" s="19" t="s">
        <v>149</v>
      </c>
      <c r="G72" s="47"/>
      <c r="H72" s="86" t="s">
        <v>150</v>
      </c>
      <c r="I72" s="87" t="s">
        <v>121</v>
      </c>
      <c r="J72" s="130"/>
      <c r="K72" s="130"/>
      <c r="N72" s="59"/>
    </row>
    <row r="73" spans="1:14" ht="9.9499999999999993" customHeight="1" x14ac:dyDescent="0.2">
      <c r="A73" s="54"/>
      <c r="G73" s="48"/>
      <c r="H73" s="48"/>
      <c r="N73" s="55"/>
    </row>
    <row r="74" spans="1:14" s="19" customFormat="1" ht="15" customHeight="1" x14ac:dyDescent="0.25">
      <c r="A74" s="58"/>
      <c r="B74" s="39" t="s">
        <v>151</v>
      </c>
      <c r="F74" s="19" t="s">
        <v>149</v>
      </c>
      <c r="G74" s="47"/>
      <c r="H74" s="86" t="s">
        <v>150</v>
      </c>
      <c r="I74" s="87" t="s">
        <v>152</v>
      </c>
      <c r="J74" s="130"/>
      <c r="K74" s="130"/>
      <c r="N74" s="59"/>
    </row>
    <row r="75" spans="1:14" ht="5.0999999999999996" customHeight="1" x14ac:dyDescent="0.2">
      <c r="A75" s="54"/>
      <c r="N75" s="55"/>
    </row>
    <row r="76" spans="1:14" s="11" customFormat="1" ht="3" customHeight="1" x14ac:dyDescent="0.2">
      <c r="A76" s="6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61"/>
    </row>
    <row r="77" spans="1:14" x14ac:dyDescent="0.2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4"/>
    </row>
  </sheetData>
  <mergeCells count="17">
    <mergeCell ref="C7:E7"/>
    <mergeCell ref="I26:J26"/>
    <mergeCell ref="C21:F21"/>
    <mergeCell ref="K10:M10"/>
    <mergeCell ref="L26:M26"/>
    <mergeCell ref="D23:F23"/>
    <mergeCell ref="K24:M24"/>
    <mergeCell ref="E34:F34"/>
    <mergeCell ref="H34:I34"/>
    <mergeCell ref="K34:M34"/>
    <mergeCell ref="C26:E26"/>
    <mergeCell ref="C32:D32"/>
    <mergeCell ref="J74:K74"/>
    <mergeCell ref="L7:M7"/>
    <mergeCell ref="K21:M21"/>
    <mergeCell ref="K23:M23"/>
    <mergeCell ref="J72:K72"/>
  </mergeCells>
  <pageMargins left="0.32" right="0.23" top="0.5" bottom="0.4" header="0.3" footer="0.3"/>
  <pageSetup paperSize="5" scale="95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4" r:id="rId4" name="Check Box 6">
              <controlPr defaultSize="0" autoFill="0" autoLine="0" autoPict="0">
                <anchor moveWithCells="1">
                  <from>
                    <xdr:col>5</xdr:col>
                    <xdr:colOff>0</xdr:colOff>
                    <xdr:row>66</xdr:row>
                    <xdr:rowOff>114300</xdr:rowOff>
                  </from>
                  <to>
                    <xdr:col>5</xdr:col>
                    <xdr:colOff>304800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5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68</xdr:row>
                    <xdr:rowOff>114300</xdr:rowOff>
                  </from>
                  <to>
                    <xdr:col>5</xdr:col>
                    <xdr:colOff>304800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6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70</xdr:row>
                    <xdr:rowOff>114300</xdr:rowOff>
                  </from>
                  <to>
                    <xdr:col>5</xdr:col>
                    <xdr:colOff>304800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7</xdr:col>
                    <xdr:colOff>200025</xdr:colOff>
                    <xdr:row>66</xdr:row>
                    <xdr:rowOff>114300</xdr:rowOff>
                  </from>
                  <to>
                    <xdr:col>7</xdr:col>
                    <xdr:colOff>504825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Check Box 10">
              <controlPr defaultSize="0" autoFill="0" autoLine="0" autoPict="0">
                <anchor moveWithCells="1">
                  <from>
                    <xdr:col>7</xdr:col>
                    <xdr:colOff>200025</xdr:colOff>
                    <xdr:row>68</xdr:row>
                    <xdr:rowOff>114300</xdr:rowOff>
                  </from>
                  <to>
                    <xdr:col>7</xdr:col>
                    <xdr:colOff>504825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" name="Check Box 11">
              <controlPr defaultSize="0" autoFill="0" autoLine="0" autoPict="0">
                <anchor moveWithCells="1">
                  <from>
                    <xdr:col>7</xdr:col>
                    <xdr:colOff>200025</xdr:colOff>
                    <xdr:row>70</xdr:row>
                    <xdr:rowOff>114300</xdr:rowOff>
                  </from>
                  <to>
                    <xdr:col>7</xdr:col>
                    <xdr:colOff>504825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" name="Check Box 13">
              <controlPr defaultSize="0" autoFill="0" autoLine="0" autoPict="0">
                <anchor moveWithCells="1">
                  <from>
                    <xdr:col>6</xdr:col>
                    <xdr:colOff>19050</xdr:colOff>
                    <xdr:row>10</xdr:row>
                    <xdr:rowOff>66675</xdr:rowOff>
                  </from>
                  <to>
                    <xdr:col>7</xdr:col>
                    <xdr:colOff>190500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1" name="Check Box 14">
              <controlPr defaultSize="0" autoFill="0" autoLine="0" autoPict="0">
                <anchor moveWithCells="1">
                  <from>
                    <xdr:col>1</xdr:col>
                    <xdr:colOff>333375</xdr:colOff>
                    <xdr:row>10</xdr:row>
                    <xdr:rowOff>66675</xdr:rowOff>
                  </from>
                  <to>
                    <xdr:col>2</xdr:col>
                    <xdr:colOff>171450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2" name="Option Button 15">
              <controlPr defaultSize="0" autoFill="0" autoLine="0" autoPict="0">
                <anchor moveWithCells="1">
                  <from>
                    <xdr:col>7</xdr:col>
                    <xdr:colOff>428625</xdr:colOff>
                    <xdr:row>11</xdr:row>
                    <xdr:rowOff>152400</xdr:rowOff>
                  </from>
                  <to>
                    <xdr:col>8</xdr:col>
                    <xdr:colOff>95250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3" name="Option Button 16">
              <controlPr defaultSize="0" autoFill="0" autoLine="0" autoPict="0">
                <anchor moveWithCells="1">
                  <from>
                    <xdr:col>7</xdr:col>
                    <xdr:colOff>428625</xdr:colOff>
                    <xdr:row>12</xdr:row>
                    <xdr:rowOff>114300</xdr:rowOff>
                  </from>
                  <to>
                    <xdr:col>8</xdr:col>
                    <xdr:colOff>95250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4" name="Option Button 17">
              <controlPr defaultSize="0" autoFill="0" autoLine="0" autoPict="0">
                <anchor moveWithCells="1">
                  <from>
                    <xdr:col>7</xdr:col>
                    <xdr:colOff>428625</xdr:colOff>
                    <xdr:row>13</xdr:row>
                    <xdr:rowOff>114300</xdr:rowOff>
                  </from>
                  <to>
                    <xdr:col>8</xdr:col>
                    <xdr:colOff>95250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5" name="Check Box 18">
              <controlPr defaultSize="0" autoFill="0" autoLine="0" autoPict="0">
                <anchor moveWithCells="1">
                  <from>
                    <xdr:col>5</xdr:col>
                    <xdr:colOff>0</xdr:colOff>
                    <xdr:row>72</xdr:row>
                    <xdr:rowOff>114300</xdr:rowOff>
                  </from>
                  <to>
                    <xdr:col>5</xdr:col>
                    <xdr:colOff>304800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6" name="Check Box 19">
              <controlPr defaultSize="0" autoFill="0" autoLine="0" autoPict="0">
                <anchor moveWithCells="1">
                  <from>
                    <xdr:col>7</xdr:col>
                    <xdr:colOff>200025</xdr:colOff>
                    <xdr:row>72</xdr:row>
                    <xdr:rowOff>114300</xdr:rowOff>
                  </from>
                  <to>
                    <xdr:col>7</xdr:col>
                    <xdr:colOff>504825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7" name="Check Box 20">
              <controlPr defaultSize="0" autoFill="0" autoLine="0" autoPict="0">
                <anchor moveWithCells="1">
                  <from>
                    <xdr:col>5</xdr:col>
                    <xdr:colOff>0</xdr:colOff>
                    <xdr:row>72</xdr:row>
                    <xdr:rowOff>114300</xdr:rowOff>
                  </from>
                  <to>
                    <xdr:col>5</xdr:col>
                    <xdr:colOff>304800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8" name="Check Box 21">
              <controlPr defaultSize="0" autoFill="0" autoLine="0" autoPict="0">
                <anchor moveWithCells="1">
                  <from>
                    <xdr:col>7</xdr:col>
                    <xdr:colOff>200025</xdr:colOff>
                    <xdr:row>72</xdr:row>
                    <xdr:rowOff>114300</xdr:rowOff>
                  </from>
                  <to>
                    <xdr:col>7</xdr:col>
                    <xdr:colOff>504825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9" name="Check Box 24">
              <controlPr defaultSize="0" autoFill="0" autoLine="0" autoPict="0">
                <anchor moveWithCells="1">
                  <from>
                    <xdr:col>8</xdr:col>
                    <xdr:colOff>552450</xdr:colOff>
                    <xdr:row>21</xdr:row>
                    <xdr:rowOff>66675</xdr:rowOff>
                  </from>
                  <to>
                    <xdr:col>10</xdr:col>
                    <xdr:colOff>9525</xdr:colOff>
                    <xdr:row>23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0" name="Check Box 25">
              <controlPr defaultSize="0" autoFill="0" autoLine="0" autoPict="0">
                <anchor moveWithCells="1">
                  <from>
                    <xdr:col>8</xdr:col>
                    <xdr:colOff>552450</xdr:colOff>
                    <xdr:row>22</xdr:row>
                    <xdr:rowOff>133350</xdr:rowOff>
                  </from>
                  <to>
                    <xdr:col>10</xdr:col>
                    <xdr:colOff>9525</xdr:colOff>
                    <xdr:row>24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E44"/>
  <sheetViews>
    <sheetView workbookViewId="0">
      <selection activeCell="C6" sqref="C6:C7"/>
    </sheetView>
  </sheetViews>
  <sheetFormatPr baseColWidth="10" defaultColWidth="11.42578125" defaultRowHeight="15" x14ac:dyDescent="0.25"/>
  <cols>
    <col min="1" max="1" width="15.855468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16384" width="11.42578125" style="1"/>
  </cols>
  <sheetData>
    <row r="2" spans="1:5" ht="22.5" x14ac:dyDescent="0.3">
      <c r="A2" s="7" t="s">
        <v>10</v>
      </c>
    </row>
    <row r="3" spans="1:5" x14ac:dyDescent="0.25">
      <c r="A3" s="8"/>
      <c r="B3" s="8"/>
      <c r="C3" s="8"/>
      <c r="D3" s="8"/>
      <c r="E3" s="8"/>
    </row>
    <row r="5" spans="1:5" ht="30.75" customHeight="1" x14ac:dyDescent="0.25">
      <c r="A5" s="9" t="s">
        <v>11</v>
      </c>
      <c r="B5" s="9" t="s">
        <v>30</v>
      </c>
      <c r="C5" s="9" t="s">
        <v>51</v>
      </c>
      <c r="D5" s="9" t="s">
        <v>56</v>
      </c>
      <c r="E5" s="9" t="s">
        <v>112</v>
      </c>
    </row>
    <row r="6" spans="1:5" x14ac:dyDescent="0.25">
      <c r="A6" s="10" t="s">
        <v>8</v>
      </c>
      <c r="B6" s="16" t="s">
        <v>44</v>
      </c>
      <c r="C6" s="16" t="s">
        <v>52</v>
      </c>
      <c r="D6" s="16" t="s">
        <v>61</v>
      </c>
      <c r="E6" s="16" t="s">
        <v>113</v>
      </c>
    </row>
    <row r="7" spans="1:5" x14ac:dyDescent="0.25">
      <c r="A7" s="10" t="s">
        <v>12</v>
      </c>
      <c r="B7" s="17" t="s">
        <v>45</v>
      </c>
      <c r="C7" s="17" t="s">
        <v>53</v>
      </c>
      <c r="D7" s="17" t="s">
        <v>60</v>
      </c>
      <c r="E7" s="17" t="s">
        <v>114</v>
      </c>
    </row>
    <row r="8" spans="1:5" x14ac:dyDescent="0.25">
      <c r="A8" s="10" t="s">
        <v>13</v>
      </c>
      <c r="B8" s="17" t="s">
        <v>46</v>
      </c>
      <c r="D8" s="17" t="s">
        <v>59</v>
      </c>
      <c r="E8" s="17" t="s">
        <v>115</v>
      </c>
    </row>
    <row r="9" spans="1:5" x14ac:dyDescent="0.25">
      <c r="A9" s="10" t="s">
        <v>14</v>
      </c>
      <c r="B9" s="17" t="s">
        <v>47</v>
      </c>
      <c r="D9" s="17" t="s">
        <v>62</v>
      </c>
    </row>
    <row r="10" spans="1:5" x14ac:dyDescent="0.25">
      <c r="A10" s="10" t="s">
        <v>15</v>
      </c>
      <c r="B10" s="17" t="s">
        <v>48</v>
      </c>
      <c r="D10" s="17" t="s">
        <v>64</v>
      </c>
    </row>
    <row r="11" spans="1:5" x14ac:dyDescent="0.25">
      <c r="A11" s="10" t="s">
        <v>16</v>
      </c>
      <c r="B11" s="17" t="s">
        <v>31</v>
      </c>
      <c r="D11" s="17" t="s">
        <v>63</v>
      </c>
    </row>
    <row r="12" spans="1:5" x14ac:dyDescent="0.25">
      <c r="A12" s="10" t="s">
        <v>17</v>
      </c>
      <c r="B12" s="17" t="s">
        <v>32</v>
      </c>
      <c r="D12" s="17" t="s">
        <v>65</v>
      </c>
    </row>
    <row r="13" spans="1:5" x14ac:dyDescent="0.25">
      <c r="A13" s="10" t="s">
        <v>18</v>
      </c>
      <c r="B13" s="17" t="s">
        <v>33</v>
      </c>
      <c r="D13" s="17" t="s">
        <v>66</v>
      </c>
    </row>
    <row r="14" spans="1:5" x14ac:dyDescent="0.25">
      <c r="A14" s="10" t="s">
        <v>19</v>
      </c>
      <c r="B14" s="18" t="s">
        <v>34</v>
      </c>
      <c r="D14" s="18" t="s">
        <v>67</v>
      </c>
    </row>
    <row r="15" spans="1:5" x14ac:dyDescent="0.25">
      <c r="A15" s="10" t="s">
        <v>20</v>
      </c>
      <c r="B15" s="17" t="s">
        <v>35</v>
      </c>
      <c r="D15" s="17" t="s">
        <v>68</v>
      </c>
    </row>
    <row r="16" spans="1:5" x14ac:dyDescent="0.25">
      <c r="A16" s="10" t="s">
        <v>21</v>
      </c>
      <c r="B16" s="17" t="s">
        <v>36</v>
      </c>
      <c r="D16" s="17" t="s">
        <v>69</v>
      </c>
    </row>
    <row r="17" spans="1:4" x14ac:dyDescent="0.25">
      <c r="A17" s="10" t="s">
        <v>22</v>
      </c>
      <c r="B17" s="17" t="s">
        <v>42</v>
      </c>
      <c r="D17" s="17" t="s">
        <v>70</v>
      </c>
    </row>
    <row r="18" spans="1:4" x14ac:dyDescent="0.25">
      <c r="A18" s="10" t="s">
        <v>23</v>
      </c>
      <c r="B18" s="17" t="s">
        <v>37</v>
      </c>
      <c r="D18" s="17" t="s">
        <v>71</v>
      </c>
    </row>
    <row r="19" spans="1:4" x14ac:dyDescent="0.25">
      <c r="A19" s="10" t="s">
        <v>24</v>
      </c>
      <c r="B19" s="17" t="s">
        <v>38</v>
      </c>
      <c r="D19" s="17" t="s">
        <v>72</v>
      </c>
    </row>
    <row r="20" spans="1:4" x14ac:dyDescent="0.25">
      <c r="A20" s="10" t="s">
        <v>25</v>
      </c>
      <c r="B20" s="17" t="s">
        <v>39</v>
      </c>
      <c r="D20" s="17" t="s">
        <v>61</v>
      </c>
    </row>
    <row r="21" spans="1:4" x14ac:dyDescent="0.25">
      <c r="A21" s="10" t="s">
        <v>26</v>
      </c>
      <c r="B21" s="17" t="s">
        <v>40</v>
      </c>
      <c r="D21" s="17" t="s">
        <v>73</v>
      </c>
    </row>
    <row r="22" spans="1:4" x14ac:dyDescent="0.25">
      <c r="B22" s="17" t="s">
        <v>41</v>
      </c>
      <c r="D22" s="17" t="s">
        <v>74</v>
      </c>
    </row>
    <row r="23" spans="1:4" x14ac:dyDescent="0.25">
      <c r="B23" s="17" t="s">
        <v>43</v>
      </c>
      <c r="D23" s="17" t="s">
        <v>75</v>
      </c>
    </row>
    <row r="24" spans="1:4" x14ac:dyDescent="0.25">
      <c r="D24" s="17" t="s">
        <v>76</v>
      </c>
    </row>
    <row r="25" spans="1:4" x14ac:dyDescent="0.25">
      <c r="D25" s="17" t="s">
        <v>77</v>
      </c>
    </row>
    <row r="26" spans="1:4" x14ac:dyDescent="0.25">
      <c r="D26" s="17" t="s">
        <v>78</v>
      </c>
    </row>
    <row r="27" spans="1:4" x14ac:dyDescent="0.25">
      <c r="D27" s="17" t="s">
        <v>79</v>
      </c>
    </row>
    <row r="28" spans="1:4" x14ac:dyDescent="0.25">
      <c r="D28" s="17" t="s">
        <v>80</v>
      </c>
    </row>
    <row r="29" spans="1:4" x14ac:dyDescent="0.25">
      <c r="D29" s="17" t="s">
        <v>81</v>
      </c>
    </row>
    <row r="30" spans="1:4" x14ac:dyDescent="0.25">
      <c r="D30" s="17" t="s">
        <v>82</v>
      </c>
    </row>
    <row r="31" spans="1:4" x14ac:dyDescent="0.25">
      <c r="D31" s="17" t="s">
        <v>83</v>
      </c>
    </row>
    <row r="32" spans="1:4" x14ac:dyDescent="0.25">
      <c r="D32" s="17" t="s">
        <v>60</v>
      </c>
    </row>
    <row r="33" spans="4:4" x14ac:dyDescent="0.25">
      <c r="D33" s="17" t="s">
        <v>84</v>
      </c>
    </row>
    <row r="34" spans="4:4" x14ac:dyDescent="0.25">
      <c r="D34" s="17" t="s">
        <v>85</v>
      </c>
    </row>
    <row r="35" spans="4:4" x14ac:dyDescent="0.25">
      <c r="D35" s="17" t="s">
        <v>86</v>
      </c>
    </row>
    <row r="36" spans="4:4" x14ac:dyDescent="0.25">
      <c r="D36" s="17" t="s">
        <v>87</v>
      </c>
    </row>
    <row r="37" spans="4:4" x14ac:dyDescent="0.25">
      <c r="D37" s="17" t="s">
        <v>88</v>
      </c>
    </row>
    <row r="38" spans="4:4" x14ac:dyDescent="0.25">
      <c r="D38" s="17" t="s">
        <v>89</v>
      </c>
    </row>
    <row r="39" spans="4:4" x14ac:dyDescent="0.25">
      <c r="D39" s="17" t="s">
        <v>90</v>
      </c>
    </row>
    <row r="40" spans="4:4" x14ac:dyDescent="0.25">
      <c r="D40" s="17" t="s">
        <v>91</v>
      </c>
    </row>
    <row r="41" spans="4:4" x14ac:dyDescent="0.25">
      <c r="D41" s="17" t="s">
        <v>92</v>
      </c>
    </row>
    <row r="42" spans="4:4" x14ac:dyDescent="0.25">
      <c r="D42" s="17" t="s">
        <v>93</v>
      </c>
    </row>
    <row r="43" spans="4:4" x14ac:dyDescent="0.25">
      <c r="D43" s="17" t="s">
        <v>94</v>
      </c>
    </row>
    <row r="44" spans="4:4" x14ac:dyDescent="0.25">
      <c r="D44" s="1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7</vt:i4>
      </vt:variant>
    </vt:vector>
  </HeadingPairs>
  <TitlesOfParts>
    <vt:vector size="10" baseType="lpstr">
      <vt:lpstr>ABM Prescription Audits</vt:lpstr>
      <vt:lpstr>e-mail Form Audits</vt:lpstr>
      <vt:lpstr>Tablas</vt:lpstr>
      <vt:lpstr>'ABM Prescription Audits'!Área_de_impresión</vt:lpstr>
      <vt:lpstr>'e-mail Form Audits'!Área_de_impresión</vt:lpstr>
      <vt:lpstr>Estado_Contractual</vt:lpstr>
      <vt:lpstr>Moneda</vt:lpstr>
      <vt:lpstr>País</vt:lpstr>
      <vt:lpstr>Producto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Paola</cp:lastModifiedBy>
  <cp:lastPrinted>2023-03-23T21:25:13Z</cp:lastPrinted>
  <dcterms:created xsi:type="dcterms:W3CDTF">2010-03-29T20:55:58Z</dcterms:created>
  <dcterms:modified xsi:type="dcterms:W3CDTF">2025-06-17T20:30:20Z</dcterms:modified>
</cp:coreProperties>
</file>